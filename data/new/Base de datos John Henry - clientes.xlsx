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  <sheet state="visible" name="Pedidos" sheetId="2" r:id="rId6"/>
  </sheets>
  <definedNames/>
  <calcPr/>
</workbook>
</file>

<file path=xl/sharedStrings.xml><?xml version="1.0" encoding="utf-8"?>
<sst xmlns="http://schemas.openxmlformats.org/spreadsheetml/2006/main" count="4528" uniqueCount="2360">
  <si>
    <t>6216-4710</t>
  </si>
  <si>
    <r>
      <rPr>
        <rFont val="arial"/>
        <b/>
        <color rgb="FF1155CC"/>
        <u/>
      </rPr>
      <t>Fecha Pedido</t>
    </r>
  </si>
  <si>
    <t>JOSE Kninght</t>
  </si>
  <si>
    <t>PANAMA</t>
  </si>
  <si>
    <r>
      <rPr>
        <rFont val="arial"/>
        <b/>
        <color rgb="FF1155CC"/>
        <u/>
      </rPr>
      <t>Nombre</t>
    </r>
  </si>
  <si>
    <r>
      <rPr>
        <rFont val="arial"/>
        <b/>
        <color rgb="FF1155CC"/>
        <u/>
      </rPr>
      <t>Pedido</t>
    </r>
  </si>
  <si>
    <r>
      <rPr>
        <rFont val="arial"/>
        <b/>
        <color rgb="FF1155CC"/>
        <u/>
      </rPr>
      <t>Entregado</t>
    </r>
  </si>
  <si>
    <r>
      <rPr>
        <rFont val="arial"/>
        <b/>
        <color rgb="FF1155CC"/>
        <u/>
      </rPr>
      <t>Fecha Siguiente</t>
    </r>
  </si>
  <si>
    <t>NERIO PEÑA</t>
  </si>
  <si>
    <r>
      <rPr>
        <rFont val="arial"/>
        <color rgb="FF1155CC"/>
        <u/>
      </rPr>
      <t>Julian Fernandez</t>
    </r>
  </si>
  <si>
    <t>pantalon saco</t>
  </si>
  <si>
    <t>sin entregar</t>
  </si>
  <si>
    <t>6305-6663</t>
  </si>
  <si>
    <t>MOISES ROSARIO</t>
  </si>
  <si>
    <r>
      <rPr>
        <rFont val="arial"/>
        <color rgb="FF1155CC"/>
        <u/>
      </rPr>
      <t>Josafat Valle</t>
    </r>
  </si>
  <si>
    <t>saco</t>
  </si>
  <si>
    <t>yefer Vega</t>
  </si>
  <si>
    <r>
      <rPr>
        <rFont val="arial"/>
        <color rgb="FF1155CC"/>
        <u/>
      </rPr>
      <t>JULIO MENDEZ</t>
    </r>
  </si>
  <si>
    <t>yefert@gmail.com</t>
  </si>
  <si>
    <t>saco camisa</t>
  </si>
  <si>
    <t>Juan Guillen Lozano Merduan</t>
  </si>
  <si>
    <r>
      <rPr>
        <rFont val="arial"/>
        <color rgb="FF1155CC"/>
        <u/>
      </rPr>
      <t>FELIX RAFAEL FALLABELLA</t>
    </r>
  </si>
  <si>
    <t>juan@gmail.com</t>
  </si>
  <si>
    <t>cll44 1-03 este</t>
  </si>
  <si>
    <t>camisa</t>
  </si>
  <si>
    <t>8-1067-489</t>
  </si>
  <si>
    <t>Menalco Solis</t>
  </si>
  <si>
    <r>
      <rPr>
        <rFont val="arial"/>
        <color rgb="FF1155CC"/>
        <u/>
      </rPr>
      <t>Jesus Bravo</t>
    </r>
  </si>
  <si>
    <t>menalcosolis@gmail.com</t>
  </si>
  <si>
    <t>PH dovle</t>
  </si>
  <si>
    <t>Eduardo Garcia</t>
  </si>
  <si>
    <r>
      <rPr>
        <rFont val="arial"/>
        <color rgb="FF1155CC"/>
        <u/>
      </rPr>
      <t>JOSE Kninght</t>
    </r>
  </si>
  <si>
    <t>eduardo@gmail.com</t>
  </si>
  <si>
    <t>4-1371905</t>
  </si>
  <si>
    <t>Micky Mendez</t>
  </si>
  <si>
    <r>
      <rPr>
        <rFont val="arial"/>
        <color rgb="FF1155CC"/>
        <u/>
      </rPr>
      <t>NERIO PEÑA</t>
    </r>
  </si>
  <si>
    <t>pantalon saco camisa</t>
  </si>
  <si>
    <t>Carlos Antonio Mendez Teano</t>
  </si>
  <si>
    <r>
      <rPr>
        <rFont val="arial"/>
        <color rgb="FF1155CC"/>
        <u/>
      </rPr>
      <t>MOISES ROSARIO</t>
    </r>
  </si>
  <si>
    <t>c-menddezt22@gmail.com</t>
  </si>
  <si>
    <t>8-233918</t>
  </si>
  <si>
    <t>Javier Vallejo</t>
  </si>
  <si>
    <r>
      <rPr>
        <rFont val="arial"/>
        <color rgb="FF1155CC"/>
        <u/>
      </rPr>
      <t>Aaron Figueroa</t>
    </r>
  </si>
  <si>
    <t>javier@gmail.com</t>
  </si>
  <si>
    <r>
      <rPr>
        <rFont val="arial"/>
        <color rgb="FF1155CC"/>
        <u/>
      </rPr>
      <t>yefer Vega</t>
    </r>
  </si>
  <si>
    <t>Felipe Manrique</t>
  </si>
  <si>
    <t>felipe@gmail.com</t>
  </si>
  <si>
    <t>Juan Alejandro Cruz Olivos</t>
  </si>
  <si>
    <t>diagonal /70#70-53</t>
  </si>
  <si>
    <r>
      <rPr>
        <rFont val="arial"/>
        <color rgb="FF1155CC"/>
        <u/>
      </rPr>
      <t>VENTURA VEGA</t>
    </r>
  </si>
  <si>
    <t>8-233-646</t>
  </si>
  <si>
    <t>CARLOS A BARSALLO</t>
  </si>
  <si>
    <r>
      <rPr>
        <rFont val="arial"/>
        <color rgb="FF1155CC"/>
        <u/>
      </rPr>
      <t>Menalco Solis</t>
    </r>
  </si>
  <si>
    <t>E-8-2152-62</t>
  </si>
  <si>
    <t>EITAN BENZAQUEN</t>
  </si>
  <si>
    <r>
      <rPr>
        <rFont val="arial"/>
        <color rgb="FF1155CC"/>
        <u/>
      </rPr>
      <t>Eduardo Garcia</t>
    </r>
  </si>
  <si>
    <t>8-701-319</t>
  </si>
  <si>
    <t>LUIS RAMON SAENZ</t>
  </si>
  <si>
    <r>
      <rPr>
        <rFont val="arial"/>
        <color rgb="FF1155CC"/>
        <u/>
      </rPr>
      <t>Micky Mendez</t>
    </r>
  </si>
  <si>
    <t>8-812-1808</t>
  </si>
  <si>
    <t>VENTURA VEGA</t>
  </si>
  <si>
    <r>
      <rPr>
        <rFont val="arial"/>
        <color rgb="FF1155CC"/>
        <u/>
      </rPr>
      <t>Carlos Antonio Mendez Teano</t>
    </r>
  </si>
  <si>
    <t>3-723-121</t>
  </si>
  <si>
    <t>KARLOS BUSTAMANTE</t>
  </si>
  <si>
    <r>
      <rPr>
        <rFont val="arial"/>
        <color rgb="FF1155CC"/>
        <u/>
      </rPr>
      <t>Javier Vallejo</t>
    </r>
  </si>
  <si>
    <t>pantalon camisa otra</t>
  </si>
  <si>
    <r>
      <rPr>
        <rFont val="arial"/>
        <color rgb="FF1155CC"/>
        <u/>
      </rPr>
      <t>Javier Vallejo</t>
    </r>
  </si>
  <si>
    <t>3-732-976</t>
  </si>
  <si>
    <t>DINESH CHUGANS</t>
  </si>
  <si>
    <r>
      <rPr>
        <rFont val="arial"/>
        <color rgb="FF1155CC"/>
        <u/>
      </rPr>
      <t>ALVARO CHING</t>
    </r>
  </si>
  <si>
    <t>8-955-425</t>
  </si>
  <si>
    <t>ALVARO CRESPO</t>
  </si>
  <si>
    <r>
      <rPr>
        <rFont val="arial"/>
        <color rgb="FF1155CC"/>
        <u/>
      </rPr>
      <t>Josafat Valle</t>
    </r>
  </si>
  <si>
    <t>pantalon</t>
  </si>
  <si>
    <r>
      <rPr>
        <rFont val="arial"/>
        <color rgb="FF1155CC"/>
        <u/>
      </rPr>
      <t>VENTURA VEGA</t>
    </r>
  </si>
  <si>
    <t>8-808-547</t>
  </si>
  <si>
    <t>DANILO BUSTAMANTE</t>
  </si>
  <si>
    <r>
      <rPr>
        <rFont val="arial"/>
        <color rgb="FF1155CC"/>
        <u/>
      </rPr>
      <t>DANILO BUSTAMANTE</t>
    </r>
  </si>
  <si>
    <t>xx</t>
  </si>
  <si>
    <t>Edwin Melo xx</t>
  </si>
  <si>
    <t>x</t>
  </si>
  <si>
    <t>xxxx</t>
  </si>
  <si>
    <r>
      <rPr>
        <rFont val="arial"/>
        <color rgb="FF1155CC"/>
        <u/>
      </rPr>
      <t>Diego Alejandro Peñaranda Rincon</t>
    </r>
  </si>
  <si>
    <t>3-728-1023</t>
  </si>
  <si>
    <t>DIEGO ANDRES VILLAREAL</t>
  </si>
  <si>
    <r>
      <rPr>
        <rFont val="arial"/>
        <color rgb="FF1155CC"/>
        <u/>
      </rPr>
      <t>Jairo Angulo</t>
    </r>
  </si>
  <si>
    <r>
      <rPr>
        <rFont val="arial"/>
        <color rgb="FF1155CC"/>
        <u/>
      </rPr>
      <t>Jairo Angulo</t>
    </r>
  </si>
  <si>
    <t>David Gerardo Cata Rodriguez</t>
  </si>
  <si>
    <r>
      <rPr>
        <rFont val="arial"/>
        <color rgb="FF1155CC"/>
        <u/>
      </rPr>
      <t>Julian Ocampo</t>
    </r>
  </si>
  <si>
    <t>COLOMBIA</t>
  </si>
  <si>
    <t>Nestor Julio Gonzalez</t>
  </si>
  <si>
    <r>
      <rPr>
        <rFont val="arial"/>
        <color rgb="FF1155CC"/>
        <u/>
      </rPr>
      <t>Julian Ocampo</t>
    </r>
  </si>
  <si>
    <t>negoin@gmail.com</t>
  </si>
  <si>
    <t>calle 136#74-11</t>
  </si>
  <si>
    <r>
      <rPr>
        <rFont val="arial"/>
        <color rgb="FF1155CC"/>
        <u/>
      </rPr>
      <t>Andres Tovar</t>
    </r>
  </si>
  <si>
    <t>carlos Alberto Cueellar Ferrer</t>
  </si>
  <si>
    <r>
      <rPr>
        <rFont val="arial"/>
        <color rgb="FF1155CC"/>
        <u/>
      </rPr>
      <t>Felipe Manrique</t>
    </r>
  </si>
  <si>
    <t>AB Dalla D</t>
  </si>
  <si>
    <r>
      <rPr>
        <rFont val="arial"/>
        <color rgb="FF1155CC"/>
        <u/>
      </rPr>
      <t>Felipe Manrique</t>
    </r>
  </si>
  <si>
    <t>otra</t>
  </si>
  <si>
    <t>Deizon Lugo Cleves</t>
  </si>
  <si>
    <t>deizon@gmail.com</t>
  </si>
  <si>
    <t>calle 26 8c-25</t>
  </si>
  <si>
    <r>
      <rPr>
        <rFont val="arial"/>
        <color rgb="FF1155CC"/>
        <u/>
      </rPr>
      <t>Felipe Manrique</t>
    </r>
  </si>
  <si>
    <r>
      <rPr>
        <rFont val="arial"/>
        <color rgb="FF1155CC"/>
        <u/>
      </rPr>
      <t>Felipe Manrique</t>
    </r>
  </si>
  <si>
    <t>8-1036-794</t>
  </si>
  <si>
    <t>Daniel Ernest Motta</t>
  </si>
  <si>
    <t>gmail.com</t>
  </si>
  <si>
    <r>
      <rPr>
        <rFont val="arial"/>
        <color rgb="FF1155CC"/>
        <u/>
      </rPr>
      <t>Andres Tovar</t>
    </r>
  </si>
  <si>
    <t>punta pacifica</t>
  </si>
  <si>
    <r>
      <rPr>
        <rFont val="arial"/>
        <color rgb="FF1155CC"/>
        <u/>
      </rPr>
      <t>Juan Alejandro Cruz Olivos</t>
    </r>
  </si>
  <si>
    <t>Roderik Motta Papa</t>
  </si>
  <si>
    <t>Punta pacifica</t>
  </si>
  <si>
    <r>
      <rPr>
        <rFont val="arial"/>
        <color rgb="FF1155CC"/>
        <u/>
      </rPr>
      <t>KARLOS BUSTAMANTE</t>
    </r>
  </si>
  <si>
    <t>8-442-449</t>
  </si>
  <si>
    <t>Fernando Duque Soto</t>
  </si>
  <si>
    <t>394-45557</t>
  </si>
  <si>
    <t>fduques@gmail.com</t>
  </si>
  <si>
    <r>
      <rPr>
        <rFont val="arial"/>
        <color rgb="FF1155CC"/>
        <u/>
      </rPr>
      <t>CARLOS A BARSALLO</t>
    </r>
  </si>
  <si>
    <t>E-8-186491</t>
  </si>
  <si>
    <t>Erik Cruz Sopulveda</t>
  </si>
  <si>
    <t>erik76@gmail.com</t>
  </si>
  <si>
    <t>solana 33A</t>
  </si>
  <si>
    <r>
      <rPr>
        <rFont val="arial"/>
        <color rgb="FF1155CC"/>
        <u/>
      </rPr>
      <t>EITAN BENZAQUEN</t>
    </r>
  </si>
  <si>
    <t>Julian Fernandez</t>
  </si>
  <si>
    <t>fonsipadelny@gmail.com</t>
  </si>
  <si>
    <t>JULIAN FERNANDEZ</t>
  </si>
  <si>
    <r>
      <rPr>
        <rFont val="arial"/>
        <color rgb="FF1155CC"/>
        <u/>
      </rPr>
      <t>DANILO BUSTAMANTE</t>
    </r>
  </si>
  <si>
    <r>
      <rPr>
        <rFont val="arial"/>
        <color rgb="FF1155CC"/>
        <u/>
      </rPr>
      <t>DANILO BUSTAMANTE</t>
    </r>
  </si>
  <si>
    <r>
      <rPr>
        <rFont val="arial"/>
        <color rgb="FF1155CC"/>
        <u/>
      </rPr>
      <t>DINESH CHUGANS</t>
    </r>
  </si>
  <si>
    <t>Diego Alejandro Peñaranda Rincon</t>
  </si>
  <si>
    <t>daperi77@hottanil.com</t>
  </si>
  <si>
    <t>cll 103a N 47a 04</t>
  </si>
  <si>
    <r>
      <rPr>
        <rFont val="arial"/>
        <color rgb="FF1155CC"/>
        <u/>
      </rPr>
      <t>ALVARO CRESPO</t>
    </r>
  </si>
  <si>
    <t>David Cuenca</t>
  </si>
  <si>
    <t>david@gmail.com</t>
  </si>
  <si>
    <r>
      <rPr>
        <rFont val="arial"/>
        <color rgb="FF1155CC"/>
        <u/>
      </rPr>
      <t>ALVARO CRESPO</t>
    </r>
  </si>
  <si>
    <t>Jairo Angulo</t>
  </si>
  <si>
    <t>jairo@gmail.com</t>
  </si>
  <si>
    <r>
      <rPr>
        <rFont val="arial"/>
        <color rgb="FF1155CC"/>
        <u/>
      </rPr>
      <t>Olmeldo Arrocha</t>
    </r>
  </si>
  <si>
    <t>8-797-1622</t>
  </si>
  <si>
    <t>Josafat Valle</t>
  </si>
  <si>
    <t>Santa Maria</t>
  </si>
  <si>
    <r>
      <rPr>
        <rFont val="arial"/>
        <color rgb="FF1155CC"/>
        <u/>
      </rPr>
      <t>LUIS RAMON SAENZ</t>
    </r>
  </si>
  <si>
    <t>8-976-2018</t>
  </si>
  <si>
    <t>Jonathan Penzak</t>
  </si>
  <si>
    <t>6675-3678</t>
  </si>
  <si>
    <t>Panama</t>
  </si>
  <si>
    <r>
      <rPr>
        <rFont val="arial"/>
        <color rgb="FF1155CC"/>
        <u/>
      </rPr>
      <t>VENTURA VEGA</t>
    </r>
  </si>
  <si>
    <t>N-22-33</t>
  </si>
  <si>
    <t>Edwin Antonio Mendoza Florez</t>
  </si>
  <si>
    <t>6677-4949</t>
  </si>
  <si>
    <t>Torre Credicorp Banir</t>
  </si>
  <si>
    <r>
      <rPr>
        <rFont val="arial"/>
        <color rgb="FF1155CC"/>
        <u/>
      </rPr>
      <t>DANILO BUSTAMANTE</t>
    </r>
  </si>
  <si>
    <r>
      <rPr>
        <rFont val="arial"/>
        <color rgb="FF1155CC"/>
        <u/>
      </rPr>
      <t>JUAN CARLOS ALVARO HIJO</t>
    </r>
  </si>
  <si>
    <t>3-747-462</t>
  </si>
  <si>
    <t>Edgar Joel Batista</t>
  </si>
  <si>
    <t>6777-5464</t>
  </si>
  <si>
    <t>Estudio Veintitres</t>
  </si>
  <si>
    <r>
      <rPr>
        <rFont val="arial"/>
        <color rgb="FF1155CC"/>
        <u/>
      </rPr>
      <t>JUAN CARLOS ALVARO HIJO</t>
    </r>
  </si>
  <si>
    <t>8-929-1667</t>
  </si>
  <si>
    <t>Javier Ortega</t>
  </si>
  <si>
    <t>6563-4908</t>
  </si>
  <si>
    <t>San Francisco</t>
  </si>
  <si>
    <r>
      <rPr>
        <rFont val="arial"/>
        <color rgb="FF1155CC"/>
        <u/>
      </rPr>
      <t>RICARDO CORDOBA AEROPUERTO</t>
    </r>
  </si>
  <si>
    <t>4- 272-158</t>
  </si>
  <si>
    <t>Eduardo Taylor</t>
  </si>
  <si>
    <t>Clayton 705 D</t>
  </si>
  <si>
    <r>
      <rPr>
        <rFont val="arial"/>
        <color rgb="FF1155CC"/>
        <u/>
      </rPr>
      <t>RICARDO CORDOBA AEROPUERTO</t>
    </r>
  </si>
  <si>
    <t>Santiago Jose Castro</t>
  </si>
  <si>
    <t>santiago@gmail.com</t>
  </si>
  <si>
    <t>calle</t>
  </si>
  <si>
    <r>
      <rPr>
        <rFont val="arial"/>
        <color rgb="FF1155CC"/>
        <u/>
      </rPr>
      <t>DANILO BUSTAMANTE</t>
    </r>
  </si>
  <si>
    <t>Juan Manuel Hernández Mayordomo</t>
  </si>
  <si>
    <r>
      <rPr>
        <rFont val="arial"/>
        <color rgb="FF1155CC"/>
        <u/>
      </rPr>
      <t>Edwin Melo xx</t>
    </r>
  </si>
  <si>
    <t>juanhm601@gmail.com</t>
  </si>
  <si>
    <t>cr 79 #19a-87</t>
  </si>
  <si>
    <t>Rafael Lopez</t>
  </si>
  <si>
    <t>ing.rafaelsilva@gmail.com</t>
  </si>
  <si>
    <t>calle 134 A # 10 A-11</t>
  </si>
  <si>
    <r>
      <rPr>
        <rFont val="arial"/>
        <color rgb="FF1155CC"/>
        <u/>
      </rPr>
      <t>Diego Alejandro Peñaranda Rincon</t>
    </r>
  </si>
  <si>
    <t>4-273-465</t>
  </si>
  <si>
    <t>LUIS ALFREDO ACOSTA</t>
  </si>
  <si>
    <r>
      <rPr>
        <rFont val="arial"/>
        <color rgb="FF1155CC"/>
        <u/>
      </rPr>
      <t>Diego Alejandro Peñaranda Rincon</t>
    </r>
  </si>
  <si>
    <r>
      <rPr>
        <rFont val="arial"/>
        <color rgb="FF1155CC"/>
        <u/>
      </rPr>
      <t>DIEGO ANDRES VILLAREAL</t>
    </r>
  </si>
  <si>
    <t>8-783-1408</t>
  </si>
  <si>
    <t>JUAN KONG</t>
  </si>
  <si>
    <r>
      <rPr>
        <rFont val="arial"/>
        <color rgb="FF1155CC"/>
        <u/>
      </rPr>
      <t>David Gerardo Cata Rodriguez</t>
    </r>
  </si>
  <si>
    <t>PE-10-811</t>
  </si>
  <si>
    <t>KENNETH LALL</t>
  </si>
  <si>
    <r>
      <rPr>
        <rFont val="arial"/>
        <color rgb="FF1155CC"/>
        <u/>
      </rPr>
      <t>Nestor Julio Gonzalez</t>
    </r>
  </si>
  <si>
    <t>Mauricio Ascenncio</t>
  </si>
  <si>
    <t>mauricio@gmail.com</t>
  </si>
  <si>
    <r>
      <rPr>
        <rFont val="arial"/>
        <color rgb="FF1155CC"/>
        <u/>
      </rPr>
      <t>Nestor Julio Gonzalez</t>
    </r>
  </si>
  <si>
    <r>
      <rPr>
        <rFont val="arial"/>
        <color rgb="FF1155CC"/>
        <u/>
      </rPr>
      <t>Nestor Julio Gonzalez</t>
    </r>
  </si>
  <si>
    <t>Nicolas Agusto Rosso Mata</t>
  </si>
  <si>
    <t>nicolasrul912@gmail.com</t>
  </si>
  <si>
    <t>ph</t>
  </si>
  <si>
    <r>
      <rPr>
        <rFont val="arial"/>
        <color rgb="FF1155CC"/>
        <u/>
      </rPr>
      <t>Nestor Julio Gonzalez</t>
    </r>
  </si>
  <si>
    <r>
      <rPr>
        <rFont val="arial"/>
        <color rgb="FF1155CC"/>
        <u/>
      </rPr>
      <t>AB Dalla D</t>
    </r>
  </si>
  <si>
    <t>8-938-340</t>
  </si>
  <si>
    <t>Rodrigo Carles</t>
  </si>
  <si>
    <t>carles507@gmail.com</t>
  </si>
  <si>
    <t>8-178-370</t>
  </si>
  <si>
    <t>Ricardo Alfonso Chen</t>
  </si>
  <si>
    <t>6672-1077</t>
  </si>
  <si>
    <r>
      <rPr>
        <rFont val="arial"/>
        <color rgb="FF1155CC"/>
        <u/>
      </rPr>
      <t>carlos Alberto Cueellar Ferrer</t>
    </r>
  </si>
  <si>
    <t>floresflavia03@gmail.com</t>
  </si>
  <si>
    <t>av Balboa</t>
  </si>
  <si>
    <t>8-278-816</t>
  </si>
  <si>
    <t>Alonso Arias</t>
  </si>
  <si>
    <t>6613-2776</t>
  </si>
  <si>
    <t>alonsoadela@gmail.com</t>
  </si>
  <si>
    <r>
      <rPr>
        <rFont val="arial"/>
        <color rgb="FF1155CC"/>
        <u/>
      </rPr>
      <t>AB Dalla D</t>
    </r>
  </si>
  <si>
    <t>ph torrazas del pacifico</t>
  </si>
  <si>
    <t>pantalon camisa</t>
  </si>
  <si>
    <r>
      <rPr>
        <rFont val="arial"/>
        <color rgb="FF1155CC"/>
        <u/>
      </rPr>
      <t>Josafat Valle</t>
    </r>
  </si>
  <si>
    <t>8-952-1016</t>
  </si>
  <si>
    <t>Diego Arias</t>
  </si>
  <si>
    <t>6232-3294</t>
  </si>
  <si>
    <r>
      <rPr>
        <rFont val="arial"/>
        <color rgb="FF1155CC"/>
        <u/>
      </rPr>
      <t>Josafat Valle</t>
    </r>
  </si>
  <si>
    <t>ariasdiego99@gmail.com</t>
  </si>
  <si>
    <t>calle 67 san francisco</t>
  </si>
  <si>
    <r>
      <rPr>
        <rFont val="arial"/>
        <color rgb="FF1155CC"/>
        <u/>
      </rPr>
      <t>Josafat Valle</t>
    </r>
  </si>
  <si>
    <t>JUAN FELIPE ARDILA BECERRA</t>
  </si>
  <si>
    <r>
      <rPr>
        <rFont val="arial"/>
        <color rgb="FF1155CC"/>
        <u/>
      </rPr>
      <t>Josafat Valle</t>
    </r>
  </si>
  <si>
    <r>
      <rPr>
        <rFont val="arial"/>
        <color rgb="FF1155CC"/>
        <u/>
      </rPr>
      <t>RICARDO ANTONIO GRIFFITH CHAVEZ</t>
    </r>
  </si>
  <si>
    <t>8-700-920</t>
  </si>
  <si>
    <t>JULIO CESAR NUÑEZ GRIMAS</t>
  </si>
  <si>
    <r>
      <rPr>
        <rFont val="arial"/>
        <color rgb="FF1155CC"/>
        <u/>
      </rPr>
      <t>RICARDO ANTONIO GRIFFITH CHAVEZ</t>
    </r>
  </si>
  <si>
    <r>
      <rPr>
        <rFont val="arial"/>
        <color rgb="FF1155CC"/>
        <u/>
      </rPr>
      <t>RICARDO ANTONIO GRIFFITH CHAVEZ</t>
    </r>
  </si>
  <si>
    <t>5-26-0146</t>
  </si>
  <si>
    <t>VICTOR CORDOBA V</t>
  </si>
  <si>
    <r>
      <rPr>
        <rFont val="arial"/>
        <color rgb="FF1155CC"/>
        <u/>
      </rPr>
      <t>JOHN HENRY</t>
    </r>
  </si>
  <si>
    <t>4-197-500</t>
  </si>
  <si>
    <t>MANUEL ANTONIO GUILLEN MORALES</t>
  </si>
  <si>
    <r>
      <rPr>
        <rFont val="arial"/>
        <color rgb="FF1155CC"/>
        <u/>
      </rPr>
      <t>Deizon Lugo Cleves</t>
    </r>
  </si>
  <si>
    <t>E-8-162210</t>
  </si>
  <si>
    <t>JOSE ANTONIO YANES LUPEZ</t>
  </si>
  <si>
    <r>
      <rPr>
        <rFont val="arial"/>
        <color rgb="FF1155CC"/>
        <u/>
      </rPr>
      <t>Deizon Lugo Cleves</t>
    </r>
  </si>
  <si>
    <r>
      <rPr>
        <rFont val="arial"/>
        <color rgb="FF1155CC"/>
        <u/>
      </rPr>
      <t>Josafat Valle</t>
    </r>
  </si>
  <si>
    <t>Roberto Guerra</t>
  </si>
  <si>
    <r>
      <rPr>
        <rFont val="arial"/>
        <color rgb="FF1155CC"/>
        <u/>
      </rPr>
      <t>Deizon Lugo Cleves</t>
    </r>
  </si>
  <si>
    <t>roberto@gmail.com</t>
  </si>
  <si>
    <t>CALLE</t>
  </si>
  <si>
    <t>pantalon saco otra</t>
  </si>
  <si>
    <r>
      <rPr>
        <rFont val="arial"/>
        <color rgb="FF1155CC"/>
        <u/>
      </rPr>
      <t>Deizon Lugo Cleves</t>
    </r>
  </si>
  <si>
    <t>Juan Causadias</t>
  </si>
  <si>
    <r>
      <rPr>
        <rFont val="arial"/>
        <color rgb="FF1155CC"/>
        <u/>
      </rPr>
      <t>JOHN HENRY</t>
    </r>
  </si>
  <si>
    <r>
      <rPr>
        <rFont val="arial"/>
        <color rgb="FF1155CC"/>
        <u/>
      </rPr>
      <t>JOHN HENRY</t>
    </r>
  </si>
  <si>
    <t>2-121-203</t>
  </si>
  <si>
    <t>Olmeldo Arrocha</t>
  </si>
  <si>
    <t>olmeldoarrocha@gmail.com</t>
  </si>
  <si>
    <r>
      <rPr>
        <rFont val="arial"/>
        <color rgb="FF1155CC"/>
        <u/>
      </rPr>
      <t>DIEGO OSWALDO LEON RIFALDO</t>
    </r>
  </si>
  <si>
    <t>8-117758</t>
  </si>
  <si>
    <t>Juan Pablo Zarate</t>
  </si>
  <si>
    <t>jpzarate@gmail.com</t>
  </si>
  <si>
    <t>ph 6MT</t>
  </si>
  <si>
    <r>
      <rPr>
        <rFont val="arial"/>
        <color rgb="FF1155CC"/>
        <u/>
      </rPr>
      <t>DIEGO OSWALDO LEON RIFALDO</t>
    </r>
  </si>
  <si>
    <t>8-823-553</t>
  </si>
  <si>
    <r>
      <rPr>
        <rFont val="arial"/>
        <color rgb="FF1155CC"/>
        <u/>
      </rPr>
      <t>Mauricio Ascenncio</t>
    </r>
  </si>
  <si>
    <t>Jhonathon santos</t>
  </si>
  <si>
    <t>6271-0708</t>
  </si>
  <si>
    <t>inbo@isontos.com</t>
  </si>
  <si>
    <t>calle 50 F Y E</t>
  </si>
  <si>
    <r>
      <rPr>
        <rFont val="arial"/>
        <color rgb="FF1155CC"/>
        <u/>
      </rPr>
      <t>Mauricio Ascenncio</t>
    </r>
  </si>
  <si>
    <t>8-72874</t>
  </si>
  <si>
    <t>Brett Mikkelson</t>
  </si>
  <si>
    <t>6674-1183</t>
  </si>
  <si>
    <t>brettebanieves@gmail.com</t>
  </si>
  <si>
    <t>LAS CUMBREES</t>
  </si>
  <si>
    <r>
      <rPr>
        <rFont val="arial"/>
        <color rgb="FF1155CC"/>
        <u/>
      </rPr>
      <t>Mauricio Ascenncio</t>
    </r>
  </si>
  <si>
    <t>8-109-1770</t>
  </si>
  <si>
    <t>Nicolas Loo</t>
  </si>
  <si>
    <r>
      <rPr>
        <rFont val="arial"/>
        <color rgb="FF1155CC"/>
        <u/>
      </rPr>
      <t>Mauricio Ascenncio</t>
    </r>
  </si>
  <si>
    <t>PH tabosan</t>
  </si>
  <si>
    <r>
      <rPr>
        <rFont val="arial"/>
        <color rgb="FF1155CC"/>
        <u/>
      </rPr>
      <t>Julian Fernandez</t>
    </r>
  </si>
  <si>
    <t>8-235-2059</t>
  </si>
  <si>
    <t>Alexis carles</t>
  </si>
  <si>
    <t>carles@gmail.com</t>
  </si>
  <si>
    <t>calle 47 BELLA VISTA</t>
  </si>
  <si>
    <r>
      <rPr>
        <rFont val="arial"/>
        <color rgb="FF1155CC"/>
        <u/>
      </rPr>
      <t>Fernando Duque Soto</t>
    </r>
  </si>
  <si>
    <t>Sebastián Barbosa</t>
  </si>
  <si>
    <t>barbosa@gmail.com</t>
  </si>
  <si>
    <r>
      <rPr>
        <rFont val="arial"/>
        <color rgb="FF1155CC"/>
        <u/>
      </rPr>
      <t>Fernando Duque Soto</t>
    </r>
  </si>
  <si>
    <r>
      <rPr>
        <rFont val="arial"/>
        <color rgb="FF1155CC"/>
        <u/>
      </rPr>
      <t>RODERICK MOTTA</t>
    </r>
  </si>
  <si>
    <t>Suegro Hugo</t>
  </si>
  <si>
    <t>hugo@gmail.com</t>
  </si>
  <si>
    <r>
      <rPr>
        <rFont val="arial"/>
        <color rgb="FF1155CC"/>
        <u/>
      </rPr>
      <t>RODERICK MOTTA</t>
    </r>
  </si>
  <si>
    <r>
      <rPr>
        <rFont val="arial"/>
        <color rgb="FF1155CC"/>
        <u/>
      </rPr>
      <t>Roderik Motta Papa</t>
    </r>
  </si>
  <si>
    <t>Victor Hugo Londoño</t>
  </si>
  <si>
    <t>vhlondonoa@gmail.com</t>
  </si>
  <si>
    <r>
      <rPr>
        <rFont val="arial"/>
        <color rgb="FF1155CC"/>
        <u/>
      </rPr>
      <t>Daniel Ernest Motta</t>
    </r>
  </si>
  <si>
    <t>8-818-1158</t>
  </si>
  <si>
    <t>Francisco Aleman</t>
  </si>
  <si>
    <t>calle los lagos</t>
  </si>
  <si>
    <r>
      <rPr>
        <rFont val="arial"/>
        <color rgb="FF1155CC"/>
        <u/>
      </rPr>
      <t>Diego Alejandro Peñaranda Rincon</t>
    </r>
  </si>
  <si>
    <t>DIEGO OSWALDO LEON RIFALDO</t>
  </si>
  <si>
    <r>
      <rPr>
        <rFont val="arial"/>
        <color rgb="FF1155CC"/>
        <u/>
      </rPr>
      <t>David Cuenca</t>
    </r>
  </si>
  <si>
    <t>BOGOTA</t>
  </si>
  <si>
    <r>
      <rPr>
        <rFont val="arial"/>
        <color rgb="FF1155CC"/>
        <u/>
      </rPr>
      <t>ALVARO CHING</t>
    </r>
  </si>
  <si>
    <t>DIEGO MAURICIO ESCOBAR NAVARRETE</t>
  </si>
  <si>
    <r>
      <rPr>
        <rFont val="arial"/>
        <color rgb="FF1155CC"/>
        <u/>
      </rPr>
      <t>ALVARO CHING</t>
    </r>
  </si>
  <si>
    <r>
      <rPr>
        <rFont val="arial"/>
        <color rgb="FF1155CC"/>
        <u/>
      </rPr>
      <t>Javier Ortega</t>
    </r>
  </si>
  <si>
    <t>-769-1717</t>
  </si>
  <si>
    <t>Virgilio Moreno Moreno</t>
  </si>
  <si>
    <t>VMorenoMoreno@gmail.com</t>
  </si>
  <si>
    <t>STA.Fe Darien</t>
  </si>
  <si>
    <r>
      <rPr>
        <rFont val="arial"/>
        <color rgb="FF1155CC"/>
        <u/>
      </rPr>
      <t>Edgar Joel Batista</t>
    </r>
  </si>
  <si>
    <t>8-890-136</t>
  </si>
  <si>
    <t>Antoni Jesus Pinilla Castillo</t>
  </si>
  <si>
    <t>6350-6017</t>
  </si>
  <si>
    <t>antonipinilla@gmail.com</t>
  </si>
  <si>
    <t>Don Bosco</t>
  </si>
  <si>
    <r>
      <rPr>
        <rFont val="arial"/>
        <color rgb="FF1155CC"/>
        <u/>
      </rPr>
      <t>LUIS GARCIA</t>
    </r>
  </si>
  <si>
    <t>8-886-109</t>
  </si>
  <si>
    <t>Rafael Pinilla</t>
  </si>
  <si>
    <t>6151-9478</t>
  </si>
  <si>
    <t>rafael.pinilla@gmail.com</t>
  </si>
  <si>
    <t>Don Boseo</t>
  </si>
  <si>
    <r>
      <rPr>
        <rFont val="arial"/>
        <color rgb="FF1155CC"/>
        <u/>
      </rPr>
      <t>Jonathan Penzak</t>
    </r>
  </si>
  <si>
    <t>MARIO HUMES</t>
  </si>
  <si>
    <r>
      <rPr>
        <rFont val="arial"/>
        <color rgb="FF1155CC"/>
        <u/>
      </rPr>
      <t>GIANLUCA BERTI</t>
    </r>
  </si>
  <si>
    <r>
      <rPr>
        <rFont val="arial"/>
        <color rgb="FF1155CC"/>
        <u/>
      </rPr>
      <t>Josafat Valle</t>
    </r>
  </si>
  <si>
    <t>GIOVANNI MONTAÑEZ ACOSTA</t>
  </si>
  <si>
    <r>
      <rPr>
        <rFont val="arial"/>
        <color rgb="FF1155CC"/>
        <u/>
      </rPr>
      <t>PAUL ALBA</t>
    </r>
  </si>
  <si>
    <r>
      <rPr>
        <rFont val="arial"/>
        <color rgb="FF1155CC"/>
        <u/>
      </rPr>
      <t>Farid Saba</t>
    </r>
  </si>
  <si>
    <t>8-421-253</t>
  </si>
  <si>
    <t>Hugo Moran Rodríguez</t>
  </si>
  <si>
    <t>hugo@moranid.com</t>
  </si>
  <si>
    <r>
      <rPr>
        <rFont val="arial"/>
        <color rgb="FF1155CC"/>
        <u/>
      </rPr>
      <t>Farid Saba</t>
    </r>
  </si>
  <si>
    <t>Hair Ardila</t>
  </si>
  <si>
    <t>ardila34@gmail.com</t>
  </si>
  <si>
    <t>calle 864</t>
  </si>
  <si>
    <r>
      <rPr>
        <rFont val="arial"/>
        <color rgb="FF1155CC"/>
        <u/>
      </rPr>
      <t>Farid Saba</t>
    </r>
  </si>
  <si>
    <r>
      <rPr>
        <rFont val="arial"/>
        <color rgb="FF1155CC"/>
        <u/>
      </rPr>
      <t>Farid Saba</t>
    </r>
  </si>
  <si>
    <t>Jorge Emilio Rey</t>
  </si>
  <si>
    <t>emiliorey@gmail.com</t>
  </si>
  <si>
    <t>calle 9064</t>
  </si>
  <si>
    <r>
      <rPr>
        <rFont val="arial"/>
        <color rgb="FF1155CC"/>
        <u/>
      </rPr>
      <t>Edwin Antonio Mendoza Florez</t>
    </r>
  </si>
  <si>
    <r>
      <rPr>
        <rFont val="arial"/>
        <color rgb="FF1155CC"/>
        <u/>
      </rPr>
      <t>Jairo Angulo</t>
    </r>
  </si>
  <si>
    <t>Victor Manuel Acosta Arevalo</t>
  </si>
  <si>
    <t>vmaa30@gmail.com</t>
  </si>
  <si>
    <t>calle 152B#58C49</t>
  </si>
  <si>
    <r>
      <rPr>
        <rFont val="arial"/>
        <color rgb="FF1155CC"/>
        <u/>
      </rPr>
      <t>Victor Manuel Acosta Arevalo</t>
    </r>
  </si>
  <si>
    <r>
      <rPr>
        <rFont val="arial"/>
        <color rgb="FF1155CC"/>
        <u/>
      </rPr>
      <t>Eduardo Taylor</t>
    </r>
  </si>
  <si>
    <t>Jorge Saa</t>
  </si>
  <si>
    <t>jorge_saa@gmail.com</t>
  </si>
  <si>
    <t>ph 3456</t>
  </si>
  <si>
    <r>
      <rPr>
        <rFont val="arial"/>
        <color rgb="FF1155CC"/>
        <u/>
      </rPr>
      <t>JUAN BOYD</t>
    </r>
  </si>
  <si>
    <t>4-701-1206</t>
  </si>
  <si>
    <t>Rimelt Barreiro Roque</t>
  </si>
  <si>
    <t>9620-5103</t>
  </si>
  <si>
    <t>rimelt22@gmail.com</t>
  </si>
  <si>
    <t>Plaza interprovincial</t>
  </si>
  <si>
    <t>Andres Guerrero</t>
  </si>
  <si>
    <t>ph 154</t>
  </si>
  <si>
    <r>
      <rPr>
        <rFont val="arial"/>
        <color rgb="FF1155CC"/>
        <u/>
      </rPr>
      <t>Alessandro Carretero</t>
    </r>
  </si>
  <si>
    <t>Nicolas Santiago Ardila Barrera</t>
  </si>
  <si>
    <r>
      <rPr>
        <rFont val="arial"/>
        <color rgb="FF1155CC"/>
        <u/>
      </rPr>
      <t>Santiago Jose Castro</t>
    </r>
  </si>
  <si>
    <t>calle 106# 7A-19</t>
  </si>
  <si>
    <t>Eres Kilzi</t>
  </si>
  <si>
    <r>
      <rPr>
        <rFont val="arial"/>
        <color rgb="FF1155CC"/>
        <u/>
      </rPr>
      <t>Jose Guillermo Broce Pinilla</t>
    </r>
  </si>
  <si>
    <t>ereskilzi@gmail.com</t>
  </si>
  <si>
    <t>PH 675</t>
  </si>
  <si>
    <t>4-7211032</t>
  </si>
  <si>
    <t>Jorge Ricardo Perez</t>
  </si>
  <si>
    <r>
      <rPr>
        <rFont val="arial"/>
        <color rgb="FF1155CC"/>
        <u/>
      </rPr>
      <t>Olmeldo Arrocha</t>
    </r>
  </si>
  <si>
    <t>6616-2580</t>
  </si>
  <si>
    <t>jorgeperez@gmail.com</t>
  </si>
  <si>
    <t>PH Arboleda</t>
  </si>
  <si>
    <r>
      <rPr>
        <rFont val="arial"/>
        <color rgb="FF1155CC"/>
        <u/>
      </rPr>
      <t>Olmeldo Arrocha</t>
    </r>
  </si>
  <si>
    <t>E-8-103370</t>
  </si>
  <si>
    <t>MAURICIO SABA</t>
  </si>
  <si>
    <r>
      <rPr>
        <rFont val="arial"/>
        <color rgb="FF1155CC"/>
        <u/>
      </rPr>
      <t>Rafael Pinilla</t>
    </r>
  </si>
  <si>
    <r>
      <rPr>
        <rFont val="arial"/>
        <color rgb="FF1155CC"/>
        <u/>
      </rPr>
      <t>Antoni Jesus Pinilla Castillo</t>
    </r>
  </si>
  <si>
    <t>8-966-1969</t>
  </si>
  <si>
    <t>RODERICK MOTTA</t>
  </si>
  <si>
    <r>
      <rPr>
        <rFont val="arial"/>
        <color rgb="FF1155CC"/>
        <u/>
      </rPr>
      <t>TOMAS POLANCO</t>
    </r>
  </si>
  <si>
    <t>Samuel Romero Suarez</t>
  </si>
  <si>
    <t>sosromeros4319@gmail.com</t>
  </si>
  <si>
    <t>cra b # 48a - 48</t>
  </si>
  <si>
    <r>
      <rPr>
        <rFont val="arial"/>
        <color rgb="FF1155CC"/>
        <u/>
      </rPr>
      <t>TOMAS POLANCO</t>
    </r>
  </si>
  <si>
    <t>ALEJANDRO LOPEZ</t>
  </si>
  <si>
    <r>
      <rPr>
        <rFont val="arial"/>
        <color rgb="FF1155CC"/>
        <u/>
      </rPr>
      <t>MANUEL MORENO</t>
    </r>
  </si>
  <si>
    <t>4-737-247</t>
  </si>
  <si>
    <t>CARLOS ABREGO DAVILA</t>
  </si>
  <si>
    <r>
      <rPr>
        <rFont val="arial"/>
        <color rgb="FF1155CC"/>
        <u/>
      </rPr>
      <t>MANUEL MORENO</t>
    </r>
  </si>
  <si>
    <r>
      <rPr>
        <rFont val="arial"/>
        <color rgb="FF1155CC"/>
        <u/>
      </rPr>
      <t>Juan Manuel Hernández Mayordomo</t>
    </r>
  </si>
  <si>
    <t>8-306-390</t>
  </si>
  <si>
    <t>JORGE EYSSERIC</t>
  </si>
  <si>
    <r>
      <rPr>
        <rFont val="arial"/>
        <color rgb="FF1155CC"/>
        <u/>
      </rPr>
      <t>JUAN KONG</t>
    </r>
  </si>
  <si>
    <t>JUAN ELOY CASTILLO</t>
  </si>
  <si>
    <r>
      <rPr>
        <rFont val="arial"/>
        <color rgb="FF1155CC"/>
        <u/>
      </rPr>
      <t>KENNETH LALL</t>
    </r>
  </si>
  <si>
    <r>
      <rPr>
        <rFont val="arial"/>
        <color rgb="FF1155CC"/>
        <u/>
      </rPr>
      <t>Mauricio Ascenncio</t>
    </r>
  </si>
  <si>
    <t>8-812-67</t>
  </si>
  <si>
    <t>Jean Laguna</t>
  </si>
  <si>
    <t>6081-1583</t>
  </si>
  <si>
    <t>laguna.leane@gmail.com</t>
  </si>
  <si>
    <t>PH trinit, El carmen</t>
  </si>
  <si>
    <r>
      <rPr>
        <rFont val="arial"/>
        <color rgb="FF1155CC"/>
        <u/>
      </rPr>
      <t>Mauricio Ascenncio</t>
    </r>
  </si>
  <si>
    <t>3-724-1179</t>
  </si>
  <si>
    <t>Marco Ayarza hijo</t>
  </si>
  <si>
    <t>marcoayarza@gmail.com</t>
  </si>
  <si>
    <t>Calle 17p leferre ph contemial</t>
  </si>
  <si>
    <r>
      <rPr>
        <rFont val="arial"/>
        <color rgb="FF1155CC"/>
        <u/>
      </rPr>
      <t>Mauricio Ascenncio</t>
    </r>
  </si>
  <si>
    <r>
      <rPr>
        <rFont val="arial"/>
        <color rgb="FF1155CC"/>
        <u/>
      </rPr>
      <t>Mauricio Ascenncio</t>
    </r>
  </si>
  <si>
    <t>3-92-153</t>
  </si>
  <si>
    <t>Marco Ayarza papa</t>
  </si>
  <si>
    <t>507-439-8638</t>
  </si>
  <si>
    <t>Marco20ayarza@gmail.com</t>
  </si>
  <si>
    <t>calle 17 ph</t>
  </si>
  <si>
    <r>
      <rPr>
        <rFont val="arial"/>
        <color rgb="FF1155CC"/>
        <u/>
      </rPr>
      <t>Mauricio Ascenncio</t>
    </r>
  </si>
  <si>
    <r>
      <rPr>
        <rFont val="arial"/>
        <color rgb="FF1155CC"/>
        <u/>
      </rPr>
      <t>Mauricio Ascenncio</t>
    </r>
  </si>
  <si>
    <r>
      <rPr>
        <rFont val="arial"/>
        <color rgb="FF1155CC"/>
        <u/>
      </rPr>
      <t>Nicolas Agusto Rosso Mata</t>
    </r>
  </si>
  <si>
    <t>8-880-1546</t>
  </si>
  <si>
    <t>Ernesto calvo</t>
  </si>
  <si>
    <t>507-6673-6878</t>
  </si>
  <si>
    <t>PH Toc Apt 4310</t>
  </si>
  <si>
    <r>
      <rPr>
        <rFont val="arial"/>
        <color rgb="FF1155CC"/>
        <u/>
      </rPr>
      <t>Luis Hernan Castellanos Garcia</t>
    </r>
  </si>
  <si>
    <t>Nicolas Castillo Ojeda</t>
  </si>
  <si>
    <t>nicolas.castillos96@gmail.com</t>
  </si>
  <si>
    <t>cra 53 A # 57A - 195</t>
  </si>
  <si>
    <r>
      <rPr>
        <rFont val="arial"/>
        <color rgb="FF1155CC"/>
        <u/>
      </rPr>
      <t>Francisco Aleman</t>
    </r>
  </si>
  <si>
    <r>
      <rPr>
        <rFont val="arial"/>
        <color rgb="FF1155CC"/>
        <u/>
      </rPr>
      <t>MARIO HUMES</t>
    </r>
  </si>
  <si>
    <t>Ricardo Gil Ochoa</t>
  </si>
  <si>
    <t>rgil@dimayor/.com.co</t>
  </si>
  <si>
    <t>cr 2 B # 69 A - 35</t>
  </si>
  <si>
    <r>
      <rPr>
        <rFont val="arial"/>
        <color rgb="FF1155CC"/>
        <u/>
      </rPr>
      <t>JUAN CARLOS RODRIGUEZ BERNAL</t>
    </r>
  </si>
  <si>
    <t>Diego Roman Ojeda Silva</t>
  </si>
  <si>
    <t>Tr .12#23 B-30</t>
  </si>
  <si>
    <r>
      <rPr>
        <rFont val="arial"/>
        <color rgb="FF1155CC"/>
        <u/>
      </rPr>
      <t>Ricardo Alfonso Chen</t>
    </r>
  </si>
  <si>
    <r>
      <rPr>
        <rFont val="arial"/>
        <color rgb="FF1155CC"/>
        <u/>
      </rPr>
      <t>Diego Arias</t>
    </r>
  </si>
  <si>
    <t>4-815-1407</t>
  </si>
  <si>
    <t>Juan diego Mendez</t>
  </si>
  <si>
    <t>730-2350</t>
  </si>
  <si>
    <t>juandiegomendez02@gmail.com</t>
  </si>
  <si>
    <t>david chiniqui</t>
  </si>
  <si>
    <r>
      <rPr>
        <rFont val="arial"/>
        <color rgb="FF1155CC"/>
        <u/>
      </rPr>
      <t>Alonso Arias</t>
    </r>
  </si>
  <si>
    <t>Jacobo Chocron</t>
  </si>
  <si>
    <r>
      <rPr>
        <rFont val="arial"/>
        <color rgb="FF1155CC"/>
        <u/>
      </rPr>
      <t>Rodrigo Carles</t>
    </r>
  </si>
  <si>
    <r>
      <rPr>
        <rFont val="arial"/>
        <color rgb="FF1155CC"/>
        <u/>
      </rPr>
      <t>Alexis carles</t>
    </r>
  </si>
  <si>
    <t>8-1013-1015</t>
  </si>
  <si>
    <t>Diego Miranda</t>
  </si>
  <si>
    <t>617-909-0519</t>
  </si>
  <si>
    <t>diegomiranda21@gmail.com</t>
  </si>
  <si>
    <t>PH Azalea Santa Maria</t>
  </si>
  <si>
    <r>
      <rPr>
        <rFont val="arial"/>
        <color rgb="FF1155CC"/>
        <u/>
      </rPr>
      <t>Luis Gabriel Marín</t>
    </r>
  </si>
  <si>
    <t>Ronaldo Perez</t>
  </si>
  <si>
    <t>PH Lexus Tover</t>
  </si>
  <si>
    <r>
      <rPr>
        <rFont val="arial"/>
        <color rgb="FF1155CC"/>
        <u/>
      </rPr>
      <t>Hair Ardila</t>
    </r>
  </si>
  <si>
    <t>8-800-1399</t>
  </si>
  <si>
    <t>Juan Carlos Vallerino</t>
  </si>
  <si>
    <t>joanvallerano@gmail.com</t>
  </si>
  <si>
    <t>costa de edte -tentisb</t>
  </si>
  <si>
    <r>
      <rPr>
        <rFont val="arial"/>
        <color rgb="FF1155CC"/>
        <u/>
      </rPr>
      <t>Hugo Moran Rodríguez</t>
    </r>
  </si>
  <si>
    <r>
      <rPr>
        <rFont val="arial"/>
        <color rgb="FF1155CC"/>
        <u/>
      </rPr>
      <t>Hugo Moran Rodríguez</t>
    </r>
  </si>
  <si>
    <t>Franklin Mora Guerrero</t>
  </si>
  <si>
    <t>fmora@marportmalgroup.com</t>
  </si>
  <si>
    <r>
      <rPr>
        <rFont val="arial"/>
        <color rgb="FF1155CC"/>
        <u/>
      </rPr>
      <t>Hugo Moran Rodríguez</t>
    </r>
  </si>
  <si>
    <t>Costa del este</t>
  </si>
  <si>
    <r>
      <rPr>
        <rFont val="arial"/>
        <color rgb="FF1155CC"/>
        <u/>
      </rPr>
      <t>JUAN FELIPE ARDILA BECERRA</t>
    </r>
  </si>
  <si>
    <t>Francisco Altieri</t>
  </si>
  <si>
    <r>
      <rPr>
        <rFont val="arial"/>
        <color rgb="FF1155CC"/>
        <u/>
      </rPr>
      <t>Luis Hernan Castellanos Garcia</t>
    </r>
  </si>
  <si>
    <r>
      <rPr>
        <rFont val="arial"/>
        <color rgb="FF1155CC"/>
        <u/>
      </rPr>
      <t>JULIO CESAR NUÑEZ GRIMAS</t>
    </r>
  </si>
  <si>
    <r>
      <rPr>
        <rFont val="arial"/>
        <color rgb="FF1155CC"/>
        <u/>
      </rPr>
      <t>VICTOR CORDOBA V</t>
    </r>
  </si>
  <si>
    <t>Richar Altieri</t>
  </si>
  <si>
    <r>
      <rPr>
        <rFont val="arial"/>
        <color rgb="FF1155CC"/>
        <u/>
      </rPr>
      <t>MANUEL ANTONIO GUILLEN MORALES</t>
    </r>
  </si>
  <si>
    <t>Tomas Stanziola</t>
  </si>
  <si>
    <r>
      <rPr>
        <rFont val="arial"/>
        <color rgb="FF1155CC"/>
        <u/>
      </rPr>
      <t>ALFREDO ZEBEDE PAPA</t>
    </r>
  </si>
  <si>
    <r>
      <rPr>
        <rFont val="arial"/>
        <color rgb="FF1155CC"/>
        <u/>
      </rPr>
      <t>CARLOS ERNESTO MOLINA HONDAL</t>
    </r>
  </si>
  <si>
    <t>Eugene Altieri</t>
  </si>
  <si>
    <t>eugenealtieri@gmail.com</t>
  </si>
  <si>
    <t>PH Letus tover</t>
  </si>
  <si>
    <r>
      <rPr>
        <rFont val="arial"/>
        <color rgb="FF1155CC"/>
        <u/>
      </rPr>
      <t>JOSE ANTONIO YANES LUPEZ</t>
    </r>
  </si>
  <si>
    <t>4-146-63</t>
  </si>
  <si>
    <t>Cesar Zebede</t>
  </si>
  <si>
    <t>porotobd@yahoo.com</t>
  </si>
  <si>
    <r>
      <rPr>
        <rFont val="arial"/>
        <color rgb="FF1155CC"/>
        <u/>
      </rPr>
      <t>Luis Eugenio Vasquez Brown</t>
    </r>
  </si>
  <si>
    <t>david</t>
  </si>
  <si>
    <r>
      <rPr>
        <rFont val="arial"/>
        <color rgb="FF1155CC"/>
        <u/>
      </rPr>
      <t>Luis Eugenio Vasquez Brown</t>
    </r>
  </si>
  <si>
    <t>4-420-210</t>
  </si>
  <si>
    <t>Mauricio Zebede</t>
  </si>
  <si>
    <t>mauriciozebede@gmail.com</t>
  </si>
  <si>
    <t>PH Lexus Tom</t>
  </si>
  <si>
    <r>
      <rPr>
        <rFont val="arial"/>
        <color rgb="FF1155CC"/>
        <u/>
      </rPr>
      <t>Luis Eugenio Vasquez Brown</t>
    </r>
  </si>
  <si>
    <r>
      <rPr>
        <rFont val="arial"/>
        <color rgb="FF1155CC"/>
        <u/>
      </rPr>
      <t>Roberto Guerra</t>
    </r>
  </si>
  <si>
    <t>4-764-1857</t>
  </si>
  <si>
    <t>Moises Zebede</t>
  </si>
  <si>
    <r>
      <rPr>
        <rFont val="arial"/>
        <color rgb="FF1155CC"/>
        <u/>
      </rPr>
      <t>Juan Causadias</t>
    </r>
  </si>
  <si>
    <t>moises.zebede4@gmailcom</t>
  </si>
  <si>
    <r>
      <rPr>
        <rFont val="arial"/>
        <color rgb="FF1155CC"/>
        <u/>
      </rPr>
      <t>Olmeldo Arrocha</t>
    </r>
  </si>
  <si>
    <t>8-813-152</t>
  </si>
  <si>
    <t>Rafael Stanziola Zebede</t>
  </si>
  <si>
    <r>
      <rPr>
        <rFont val="arial"/>
        <color rgb="FF1155CC"/>
        <u/>
      </rPr>
      <t>Juan Pablo Zarate</t>
    </r>
  </si>
  <si>
    <t>RSZZ405@hotmail.com</t>
  </si>
  <si>
    <t>E-8-211644</t>
  </si>
  <si>
    <r>
      <rPr>
        <rFont val="arial"/>
        <color rgb="FF1155CC"/>
        <u/>
      </rPr>
      <t>Jhonathon santos</t>
    </r>
  </si>
  <si>
    <t>Miguel Escalona</t>
  </si>
  <si>
    <t>miguelescalona@hotmail.com</t>
  </si>
  <si>
    <t>San franeiseo</t>
  </si>
  <si>
    <r>
      <rPr>
        <rFont val="arial"/>
        <color rgb="FF1155CC"/>
        <u/>
      </rPr>
      <t>Brett Mikkelson</t>
    </r>
  </si>
  <si>
    <t>8-874-930</t>
  </si>
  <si>
    <t>Ronaldo Crespo</t>
  </si>
  <si>
    <t>6070-1389</t>
  </si>
  <si>
    <t>ronaldoenriqueing@gmail.com</t>
  </si>
  <si>
    <t>p4 van 6064</t>
  </si>
  <si>
    <r>
      <rPr>
        <rFont val="arial"/>
        <color rgb="FF1155CC"/>
        <u/>
      </rPr>
      <t>Brett Mikkelson</t>
    </r>
  </si>
  <si>
    <t>Jovani Mora</t>
  </si>
  <si>
    <t>6615-5400</t>
  </si>
  <si>
    <r>
      <rPr>
        <rFont val="arial"/>
        <color rgb="FF1155CC"/>
        <u/>
      </rPr>
      <t>Nicolas Loo</t>
    </r>
  </si>
  <si>
    <t>8-1064984</t>
  </si>
  <si>
    <t>Alessandro Carretero</t>
  </si>
  <si>
    <t>Magnolias casa 33</t>
  </si>
  <si>
    <r>
      <rPr>
        <rFont val="arial"/>
        <color rgb="FF1155CC"/>
        <u/>
      </rPr>
      <t>Nicolas Loo</t>
    </r>
  </si>
  <si>
    <r>
      <rPr>
        <rFont val="arial"/>
        <color rgb="FF1155CC"/>
        <u/>
      </rPr>
      <t>Nicolas Loo</t>
    </r>
  </si>
  <si>
    <t>E-8-203585</t>
  </si>
  <si>
    <t>Jose Mac Mahan</t>
  </si>
  <si>
    <t>6977-1251</t>
  </si>
  <si>
    <t>josemacmahan@wisdonacodenypty.co</t>
  </si>
  <si>
    <t>calle 50</t>
  </si>
  <si>
    <r>
      <rPr>
        <rFont val="arial"/>
        <color rgb="FF1155CC"/>
        <u/>
      </rPr>
      <t>Luis Gabriel Marín</t>
    </r>
  </si>
  <si>
    <r>
      <rPr>
        <rFont val="arial"/>
        <color rgb="FF1155CC"/>
        <u/>
      </rPr>
      <t>Luis Gabriel Marín</t>
    </r>
  </si>
  <si>
    <t>Armando King</t>
  </si>
  <si>
    <r>
      <rPr>
        <rFont val="arial"/>
        <color rgb="FF1155CC"/>
        <u/>
      </rPr>
      <t>Luis Gabriel Marín</t>
    </r>
  </si>
  <si>
    <t>E-8-115012</t>
  </si>
  <si>
    <r>
      <rPr>
        <rFont val="arial"/>
        <color rgb="FF1155CC"/>
        <u/>
      </rPr>
      <t>Alessandro Carretero</t>
    </r>
  </si>
  <si>
    <t>Farid Saba</t>
  </si>
  <si>
    <t>6615-4828/PANAMA</t>
  </si>
  <si>
    <t>Ph brove 104</t>
  </si>
  <si>
    <r>
      <rPr>
        <rFont val="arial"/>
        <color rgb="FF1155CC"/>
        <u/>
      </rPr>
      <t>Alessandro Carretero</t>
    </r>
  </si>
  <si>
    <t>8-877-930</t>
  </si>
  <si>
    <r>
      <rPr>
        <rFont val="arial"/>
        <color rgb="FF1155CC"/>
        <u/>
      </rPr>
      <t>Alessandro Carretero</t>
    </r>
  </si>
  <si>
    <t>Rolando Crespo</t>
  </si>
  <si>
    <r>
      <rPr>
        <rFont val="arial"/>
        <color rgb="FF1155CC"/>
        <u/>
      </rPr>
      <t>Jacobo Chocron</t>
    </r>
  </si>
  <si>
    <t>Juan Bernal</t>
  </si>
  <si>
    <r>
      <rPr>
        <rFont val="arial"/>
        <color rgb="FF1155CC"/>
        <u/>
      </rPr>
      <t>Nestor Omar Martinez Melo</t>
    </r>
  </si>
  <si>
    <t>Julian Ocampo</t>
  </si>
  <si>
    <r>
      <rPr>
        <rFont val="arial"/>
        <color rgb="FF1155CC"/>
        <u/>
      </rPr>
      <t>Jacobo Chocron</t>
    </r>
  </si>
  <si>
    <r>
      <rPr>
        <rFont val="arial"/>
        <color rgb="FF1155CC"/>
        <u/>
      </rPr>
      <t>Alessandro Carretero</t>
    </r>
  </si>
  <si>
    <r>
      <rPr>
        <rFont val="arial"/>
        <color rgb="FF1155CC"/>
        <u/>
      </rPr>
      <t>Alessandro Carretero</t>
    </r>
  </si>
  <si>
    <t>Luis Fernando Gómez</t>
  </si>
  <si>
    <r>
      <rPr>
        <rFont val="arial"/>
        <color rgb="FF1155CC"/>
        <u/>
      </rPr>
      <t>Alexis carles</t>
    </r>
  </si>
  <si>
    <r>
      <rPr>
        <rFont val="arial"/>
        <color rgb="FF1155CC"/>
        <u/>
      </rPr>
      <t>Alexis carles</t>
    </r>
  </si>
  <si>
    <t>Luis Rodríguez DIMAYOR</t>
  </si>
  <si>
    <r>
      <rPr>
        <rFont val="arial"/>
        <color rgb="FF1155CC"/>
        <u/>
      </rPr>
      <t>Juan Kuan Guerrero</t>
    </r>
  </si>
  <si>
    <t>Guiovanni Beltrán DIMAYOR</t>
  </si>
  <si>
    <r>
      <rPr>
        <rFont val="arial"/>
        <color rgb="FF1155CC"/>
        <u/>
      </rPr>
      <t>ALEJANDRO LOPEZ</t>
    </r>
  </si>
  <si>
    <t>Rodrigo Cubillos</t>
  </si>
  <si>
    <r>
      <rPr>
        <rFont val="arial"/>
        <color rgb="FF1155CC"/>
        <u/>
      </rPr>
      <t>Jorge Emilio Rey</t>
    </r>
  </si>
  <si>
    <r>
      <rPr>
        <rFont val="arial"/>
        <color rgb="FF1155CC"/>
        <u/>
      </rPr>
      <t>Jorge Emilio Rey</t>
    </r>
  </si>
  <si>
    <t>Jordan Prieto</t>
  </si>
  <si>
    <r>
      <rPr>
        <rFont val="arial"/>
        <color rgb="FF1155CC"/>
        <u/>
      </rPr>
      <t>Nestor Omar Martinez Melo</t>
    </r>
  </si>
  <si>
    <r>
      <rPr>
        <rFont val="arial"/>
        <color rgb="FF1155CC"/>
        <u/>
      </rPr>
      <t>Nestor Omar Martinez Melo</t>
    </r>
  </si>
  <si>
    <t>EDGAR REYES</t>
  </si>
  <si>
    <r>
      <rPr>
        <rFont val="arial"/>
        <color rgb="FF1155CC"/>
        <u/>
      </rPr>
      <t>Luis Hernan Castellanos Garcia</t>
    </r>
  </si>
  <si>
    <r>
      <rPr>
        <rFont val="arial"/>
        <color rgb="FF1155CC"/>
        <u/>
      </rPr>
      <t>Sebastián Barbosa</t>
    </r>
  </si>
  <si>
    <t>8-732-1739</t>
  </si>
  <si>
    <t>Aniel Beltran</t>
  </si>
  <si>
    <r>
      <rPr>
        <rFont val="arial"/>
        <color rgb="FF1155CC"/>
        <u/>
      </rPr>
      <t>Sebastián Barbosa</t>
    </r>
  </si>
  <si>
    <r>
      <rPr>
        <rFont val="arial"/>
        <color rgb="FF1155CC"/>
        <u/>
      </rPr>
      <t>Victor Manuel Acosta Arevalo</t>
    </r>
  </si>
  <si>
    <t>JUAN CARLOS Bárcenas</t>
  </si>
  <si>
    <r>
      <rPr>
        <rFont val="arial"/>
        <color rgb="FF1155CC"/>
        <u/>
      </rPr>
      <t>Victor Manuel Acosta Arevalo</t>
    </r>
  </si>
  <si>
    <r>
      <rPr>
        <rFont val="arial"/>
        <color rgb="FF1155CC"/>
        <u/>
      </rPr>
      <t>Victor Hugo Londoño</t>
    </r>
  </si>
  <si>
    <t>PAUL J. FITZGERALD</t>
  </si>
  <si>
    <r>
      <rPr>
        <rFont val="arial"/>
        <color rgb="FF1155CC"/>
        <u/>
      </rPr>
      <t>Suegro Hugo</t>
    </r>
  </si>
  <si>
    <t>Andres Trujillo</t>
  </si>
  <si>
    <r>
      <rPr>
        <rFont val="arial"/>
        <color rgb="FF1155CC"/>
        <u/>
      </rPr>
      <t>Victor Hugo Londoño</t>
    </r>
  </si>
  <si>
    <r>
      <rPr>
        <rFont val="arial"/>
        <color rgb="FF1155CC"/>
        <u/>
      </rPr>
      <t>Victor Hugo Londoño</t>
    </r>
  </si>
  <si>
    <t>Francisco García</t>
  </si>
  <si>
    <r>
      <rPr>
        <rFont val="arial"/>
        <color rgb="FF1155CC"/>
        <u/>
      </rPr>
      <t>Victor Hugo Londoño</t>
    </r>
  </si>
  <si>
    <r>
      <rPr>
        <rFont val="arial"/>
        <color rgb="FF1155CC"/>
        <u/>
      </rPr>
      <t>Victor Hugo Londoño</t>
    </r>
  </si>
  <si>
    <t>Camilo Mosquera</t>
  </si>
  <si>
    <t>310-331-5452</t>
  </si>
  <si>
    <r>
      <rPr>
        <rFont val="arial"/>
        <color rgb="FF1155CC"/>
        <u/>
      </rPr>
      <t>Andres Felipe Parrado Patiño</t>
    </r>
  </si>
  <si>
    <t>JUAN PABLO VALENCIA</t>
  </si>
  <si>
    <r>
      <rPr>
        <rFont val="arial"/>
        <color rgb="FF1155CC"/>
        <u/>
      </rPr>
      <t>Andres Felipe Parrado Patiño</t>
    </r>
  </si>
  <si>
    <t>pantalon saco camisa otra</t>
  </si>
  <si>
    <r>
      <rPr>
        <rFont val="arial"/>
        <color rgb="FF1155CC"/>
        <u/>
      </rPr>
      <t>Jorge Emilio Rey</t>
    </r>
  </si>
  <si>
    <t>N-20-1786</t>
  </si>
  <si>
    <t>JOSE ALBERTO NIETO ROJAS</t>
  </si>
  <si>
    <r>
      <rPr>
        <rFont val="arial"/>
        <color rgb="FF1155CC"/>
        <u/>
      </rPr>
      <t>Rimelt Barreiro Roque</t>
    </r>
  </si>
  <si>
    <t>8-720-2447/PANAMA</t>
  </si>
  <si>
    <t>FRANCISCO AMEGLIO</t>
  </si>
  <si>
    <r>
      <rPr>
        <rFont val="arial"/>
        <color rgb="FF1155CC"/>
        <u/>
      </rPr>
      <t>Gabriel Solis</t>
    </r>
  </si>
  <si>
    <t>N-22-111</t>
  </si>
  <si>
    <t>SANTIAGO NIETO RUEDA</t>
  </si>
  <si>
    <r>
      <rPr>
        <rFont val="arial"/>
        <color rgb="FF1155CC"/>
        <u/>
      </rPr>
      <t>Francisco Aleman</t>
    </r>
  </si>
  <si>
    <r>
      <rPr>
        <rFont val="arial"/>
        <color rgb="FF1155CC"/>
        <u/>
      </rPr>
      <t>Hugo Moran Rodríguez</t>
    </r>
  </si>
  <si>
    <t>CESAR TABAREZ</t>
  </si>
  <si>
    <r>
      <rPr>
        <rFont val="arial"/>
        <color rgb="FF1155CC"/>
        <u/>
      </rPr>
      <t>DIEGO MAURICIO ESCOBAR NAVARRETE</t>
    </r>
  </si>
  <si>
    <t>8-743-691</t>
  </si>
  <si>
    <t>SALVADOR STANZIOLA</t>
  </si>
  <si>
    <r>
      <rPr>
        <rFont val="arial"/>
        <color rgb="FF1155CC"/>
        <u/>
      </rPr>
      <t>Virgilio Moreno Moreno</t>
    </r>
  </si>
  <si>
    <r>
      <rPr>
        <rFont val="arial"/>
        <color rgb="FF1155CC"/>
        <u/>
      </rPr>
      <t>Antoni Jesus Pinilla Castillo</t>
    </r>
  </si>
  <si>
    <t>3-117-345</t>
  </si>
  <si>
    <t>DON GOMEZ</t>
  </si>
  <si>
    <r>
      <rPr>
        <rFont val="arial"/>
        <color rgb="FF1155CC"/>
        <u/>
      </rPr>
      <t>Antoni Jesus Pinilla Castillo</t>
    </r>
  </si>
  <si>
    <r>
      <rPr>
        <rFont val="arial"/>
        <color rgb="FF1155CC"/>
        <u/>
      </rPr>
      <t>Rafael Pinilla</t>
    </r>
  </si>
  <si>
    <t>LUIS MORA TIO</t>
  </si>
  <si>
    <r>
      <rPr>
        <rFont val="arial"/>
        <color rgb="FF1155CC"/>
        <u/>
      </rPr>
      <t>Rafael Pinilla</t>
    </r>
  </si>
  <si>
    <r>
      <rPr>
        <rFont val="arial"/>
        <color rgb="FF1155CC"/>
        <u/>
      </rPr>
      <t>Rafael Pinilla</t>
    </r>
  </si>
  <si>
    <t>5076252-4547</t>
  </si>
  <si>
    <t>MANUEL ZARATE</t>
  </si>
  <si>
    <r>
      <rPr>
        <rFont val="arial"/>
        <color rgb="FF1155CC"/>
        <u/>
      </rPr>
      <t>Rafael Pinilla</t>
    </r>
  </si>
  <si>
    <r>
      <rPr>
        <rFont val="arial"/>
        <color rgb="FF1155CC"/>
        <u/>
      </rPr>
      <t>JORGE RODRIGUEZ</t>
    </r>
  </si>
  <si>
    <t>8-836-359</t>
  </si>
  <si>
    <t>GERARDO ALBERTO SOLIS ARIAS</t>
  </si>
  <si>
    <r>
      <rPr>
        <rFont val="arial"/>
        <color rgb="FF1155CC"/>
        <u/>
      </rPr>
      <t>JORGE RODRIGUEZ</t>
    </r>
  </si>
  <si>
    <r>
      <rPr>
        <rFont val="arial"/>
        <color rgb="FF1155CC"/>
        <u/>
      </rPr>
      <t>MARIO HUMES</t>
    </r>
  </si>
  <si>
    <t>8-779-827</t>
  </si>
  <si>
    <t>JAVIER CARRIZO ARIAS</t>
  </si>
  <si>
    <r>
      <rPr>
        <rFont val="arial"/>
        <color rgb="FF1155CC"/>
        <u/>
      </rPr>
      <t>GIOVANNI MONTAÑEZ ACOSTA</t>
    </r>
  </si>
  <si>
    <t>OMAR EUGENIO CAMERO</t>
  </si>
  <si>
    <r>
      <rPr>
        <rFont val="arial"/>
        <color rgb="FF1155CC"/>
        <u/>
      </rPr>
      <t>AURELIANO GONZALEZ RICO</t>
    </r>
  </si>
  <si>
    <r>
      <rPr>
        <rFont val="arial"/>
        <color rgb="FF1155CC"/>
        <u/>
      </rPr>
      <t>Eugene Altieri</t>
    </r>
  </si>
  <si>
    <t>AVI HERMAN</t>
  </si>
  <si>
    <t>1 839383833</t>
  </si>
  <si>
    <r>
      <rPr>
        <rFont val="arial"/>
        <color rgb="FF1155CC"/>
        <u/>
      </rPr>
      <t>Jorge Ricardo Perez</t>
    </r>
  </si>
  <si>
    <t>Diego Gonzales</t>
  </si>
  <si>
    <r>
      <rPr>
        <rFont val="arial"/>
        <color rgb="FF1155CC"/>
        <u/>
      </rPr>
      <t>Jorge Ricardo Perez</t>
    </r>
  </si>
  <si>
    <t>Luis Nelfor</t>
  </si>
  <si>
    <r>
      <rPr>
        <rFont val="arial"/>
        <color rgb="FF1155CC"/>
        <u/>
      </rPr>
      <t>Jorge Ricardo Perez</t>
    </r>
  </si>
  <si>
    <r>
      <rPr>
        <rFont val="arial"/>
        <color rgb="FF1155CC"/>
        <u/>
      </rPr>
      <t>Jorge Ricardo Perez</t>
    </r>
  </si>
  <si>
    <t>Gerardo Segura</t>
  </si>
  <si>
    <r>
      <rPr>
        <rFont val="arial"/>
        <color rgb="FF1155CC"/>
        <u/>
      </rPr>
      <t>Jorge Ricardo Perez</t>
    </r>
  </si>
  <si>
    <r>
      <rPr>
        <rFont val="arial"/>
        <color rgb="FF1155CC"/>
        <u/>
      </rPr>
      <t>ALEJANDRO LOPEZ</t>
    </r>
  </si>
  <si>
    <t>Sebastian Segura</t>
  </si>
  <si>
    <r>
      <rPr>
        <rFont val="arial"/>
        <color rgb="FF1155CC"/>
        <u/>
      </rPr>
      <t>Victor Manuel Acosta Arevalo</t>
    </r>
  </si>
  <si>
    <r>
      <rPr>
        <rFont val="arial"/>
        <color rgb="FF1155CC"/>
        <u/>
      </rPr>
      <t>Victor Manuel Acosta Arevalo</t>
    </r>
  </si>
  <si>
    <t>AURELIANO GONZALEZ RICO</t>
  </si>
  <si>
    <r>
      <rPr>
        <rFont val="arial"/>
        <color rgb="FF1155CC"/>
        <u/>
      </rPr>
      <t>Hugo Moran Rodríguez</t>
    </r>
  </si>
  <si>
    <r>
      <rPr>
        <rFont val="arial"/>
        <color rgb="FF1155CC"/>
        <u/>
      </rPr>
      <t>Moises Zebede</t>
    </r>
  </si>
  <si>
    <t>LUIS DANIEL SIATOBA RODRIGUEZ</t>
  </si>
  <si>
    <t>DANIEL SIATOBA RODRIGUEZ</t>
  </si>
  <si>
    <r>
      <rPr>
        <rFont val="arial"/>
        <color rgb="FF1155CC"/>
        <u/>
      </rPr>
      <t>Jorge Emilio Rey</t>
    </r>
  </si>
  <si>
    <r>
      <rPr>
        <rFont val="arial"/>
        <color rgb="FF1155CC"/>
        <u/>
      </rPr>
      <t>Hair Ardila</t>
    </r>
  </si>
  <si>
    <t>Andres Bolivar</t>
  </si>
  <si>
    <r>
      <rPr>
        <rFont val="arial"/>
        <color rgb="FF1155CC"/>
        <u/>
      </rPr>
      <t>Hair Ardila</t>
    </r>
  </si>
  <si>
    <r>
      <rPr>
        <rFont val="arial"/>
        <color rgb="FF1155CC"/>
        <u/>
      </rPr>
      <t>Jorge Saa</t>
    </r>
  </si>
  <si>
    <t>MOISES CATAÑO</t>
  </si>
  <si>
    <r>
      <rPr>
        <rFont val="arial"/>
        <color rgb="FF1155CC"/>
        <u/>
      </rPr>
      <t>Jorge Saa</t>
    </r>
  </si>
  <si>
    <t>JOHAN CARTAGENA</t>
  </si>
  <si>
    <r>
      <rPr>
        <rFont val="arial"/>
        <color rgb="FF1155CC"/>
        <u/>
      </rPr>
      <t>Rimelt Barreiro Roque</t>
    </r>
  </si>
  <si>
    <r>
      <rPr>
        <rFont val="arial"/>
        <color rgb="FF1155CC"/>
        <u/>
      </rPr>
      <t>Rimelt Barreiro Roque</t>
    </r>
  </si>
  <si>
    <t>EMMANUEL ZULUAGA</t>
  </si>
  <si>
    <r>
      <rPr>
        <rFont val="arial"/>
        <color rgb="FF1155CC"/>
        <u/>
      </rPr>
      <t>Nicolas Santiago Ardila Barrera</t>
    </r>
  </si>
  <si>
    <t>8-801-1063</t>
  </si>
  <si>
    <t>EDWIN ANTONIO VERGARA CASTILLO</t>
  </si>
  <si>
    <r>
      <rPr>
        <rFont val="arial"/>
        <color rgb="FF1155CC"/>
        <u/>
      </rPr>
      <t>Nicolas Santiago Ardila Barrera</t>
    </r>
  </si>
  <si>
    <r>
      <rPr>
        <rFont val="arial"/>
        <color rgb="FF1155CC"/>
        <u/>
      </rPr>
      <t>Nicolas Santiago Ardila Barrera</t>
    </r>
  </si>
  <si>
    <r>
      <rPr>
        <rFont val="arial"/>
        <color rgb="FF1155CC"/>
        <u/>
      </rPr>
      <t>Andres Guerrero</t>
    </r>
  </si>
  <si>
    <t>3-106-635</t>
  </si>
  <si>
    <t>JOHAO IVANUR VEGA NUÑEZ</t>
  </si>
  <si>
    <r>
      <rPr>
        <rFont val="arial"/>
        <color rgb="FF1155CC"/>
        <u/>
      </rPr>
      <t>Andres Guerrero</t>
    </r>
  </si>
  <si>
    <t>LEYKEL BAPTISTA</t>
  </si>
  <si>
    <r>
      <rPr>
        <rFont val="arial"/>
        <color rgb="FF1155CC"/>
        <u/>
      </rPr>
      <t>Andres Guerrero</t>
    </r>
  </si>
  <si>
    <r>
      <rPr>
        <rFont val="arial"/>
        <color rgb="FF1155CC"/>
        <u/>
      </rPr>
      <t>Andres Guerrero</t>
    </r>
  </si>
  <si>
    <r>
      <rPr>
        <rFont val="arial"/>
        <color rgb="FF1155CC"/>
        <u/>
      </rPr>
      <t>Ronaldo Perez</t>
    </r>
  </si>
  <si>
    <t>ALEC JIGGINS</t>
  </si>
  <si>
    <r>
      <rPr>
        <rFont val="arial"/>
        <color rgb="FF1155CC"/>
        <u/>
      </rPr>
      <t>Ronaldo Perez</t>
    </r>
  </si>
  <si>
    <t>NICHOLAS KOROM</t>
  </si>
  <si>
    <r>
      <rPr>
        <rFont val="arial"/>
        <color rgb="FF1155CC"/>
        <u/>
      </rPr>
      <t>Farid Saba</t>
    </r>
  </si>
  <si>
    <r>
      <rPr>
        <rFont val="arial"/>
        <color rgb="FF1155CC"/>
        <u/>
      </rPr>
      <t>Francisco Perea</t>
    </r>
  </si>
  <si>
    <t>JUAN SEBASTIAN LONDOÑO RIVERA</t>
  </si>
  <si>
    <r>
      <rPr>
        <rFont val="arial"/>
        <color rgb="FF1155CC"/>
        <u/>
      </rPr>
      <t>MAURICIO SABA</t>
    </r>
  </si>
  <si>
    <t>TEMPLE NAYLOR</t>
  </si>
  <si>
    <r>
      <rPr>
        <rFont val="arial"/>
        <color rgb="FF1155CC"/>
        <u/>
      </rPr>
      <t>RODERICK MOTTA</t>
    </r>
  </si>
  <si>
    <t>MAURICIO MARTINEZ</t>
  </si>
  <si>
    <r>
      <rPr>
        <rFont val="arial"/>
        <color rgb="FF1155CC"/>
        <u/>
      </rPr>
      <t>JUAN CARLOS ORILLAC URRUTIA</t>
    </r>
  </si>
  <si>
    <t>MAURICIO CABRERA</t>
  </si>
  <si>
    <r>
      <rPr>
        <rFont val="arial"/>
        <color rgb="FF1155CC"/>
        <u/>
      </rPr>
      <t>Samuel Romero Suarez</t>
    </r>
  </si>
  <si>
    <t>JULIO ZUÑIGA</t>
  </si>
  <si>
    <r>
      <rPr>
        <rFont val="arial"/>
        <color rgb="FF1155CC"/>
        <u/>
      </rPr>
      <t>Samuel Romero Suarez</t>
    </r>
  </si>
  <si>
    <r>
      <rPr>
        <rFont val="arial"/>
        <color rgb="FF1155CC"/>
        <u/>
      </rPr>
      <t>GERARDO ALBERTO SOLIS ARIAS</t>
    </r>
  </si>
  <si>
    <t>8-822-2381</t>
  </si>
  <si>
    <t>JUAN BOYD</t>
  </si>
  <si>
    <r>
      <rPr>
        <rFont val="arial"/>
        <color rgb="FF1155CC"/>
        <u/>
      </rPr>
      <t>GERARDO ALBERTO SOLIS ARIAS</t>
    </r>
  </si>
  <si>
    <r>
      <rPr>
        <rFont val="arial"/>
        <color rgb="FF1155CC"/>
        <u/>
      </rPr>
      <t>GERARDO ALBERTO SOLIS ARIAS</t>
    </r>
  </si>
  <si>
    <t>4-758-1184</t>
  </si>
  <si>
    <t>EMILIO TRUJILLO</t>
  </si>
  <si>
    <r>
      <rPr>
        <rFont val="arial"/>
        <color rgb="FF1155CC"/>
        <u/>
      </rPr>
      <t>GERARDO ALBERTO SOLIS ARIAS</t>
    </r>
  </si>
  <si>
    <r>
      <rPr>
        <rFont val="arial"/>
        <color rgb="FF1155CC"/>
        <u/>
      </rPr>
      <t>GERARDO ALBERTO SOLIS ARIAS</t>
    </r>
  </si>
  <si>
    <t>4-132-75</t>
  </si>
  <si>
    <t>JUVENAL E TRUJILLO A</t>
  </si>
  <si>
    <r>
      <rPr>
        <rFont val="arial"/>
        <color rgb="FF1155CC"/>
        <u/>
      </rPr>
      <t>GERARDO ALBERTO SOLIS ARIAS</t>
    </r>
  </si>
  <si>
    <r>
      <rPr>
        <rFont val="arial"/>
        <color rgb="FF1155CC"/>
        <u/>
      </rPr>
      <t>GERARDO ALBERTO SOLIS ARIAS</t>
    </r>
  </si>
  <si>
    <t>E-229736</t>
  </si>
  <si>
    <t>Oscar Delgado</t>
  </si>
  <si>
    <r>
      <rPr>
        <rFont val="arial"/>
        <color rgb="FF1155CC"/>
        <u/>
      </rPr>
      <t>GERARDO ALBERTO SOLIS ARIAS</t>
    </r>
  </si>
  <si>
    <r>
      <rPr>
        <rFont val="arial"/>
        <color rgb="FF1155CC"/>
        <u/>
      </rPr>
      <t>GERARDO ALBERTO SOLIS ARIAS</t>
    </r>
  </si>
  <si>
    <t>Jose Guillermo Broce Pinilla</t>
  </si>
  <si>
    <r>
      <rPr>
        <rFont val="arial"/>
        <color rgb="FF1155CC"/>
        <u/>
      </rPr>
      <t>ALEJANDRO LOPEZ</t>
    </r>
  </si>
  <si>
    <r>
      <rPr>
        <rFont val="arial"/>
        <color rgb="FF1155CC"/>
        <u/>
      </rPr>
      <t>Alexander De Gracia</t>
    </r>
  </si>
  <si>
    <t>8-515-232</t>
  </si>
  <si>
    <t>Francisco Perea</t>
  </si>
  <si>
    <r>
      <rPr>
        <rFont val="arial"/>
        <color rgb="FF1155CC"/>
        <u/>
      </rPr>
      <t>Alexander De Gracia</t>
    </r>
  </si>
  <si>
    <t>8-847-13-44</t>
  </si>
  <si>
    <t>Gabriel Solis</t>
  </si>
  <si>
    <r>
      <rPr>
        <rFont val="arial"/>
        <color rgb="FF1155CC"/>
        <u/>
      </rPr>
      <t>ANDRE MENDOZA PINZON</t>
    </r>
  </si>
  <si>
    <t>8-872-838</t>
  </si>
  <si>
    <t>Hans Taft</t>
  </si>
  <si>
    <r>
      <rPr>
        <rFont val="arial"/>
        <color rgb="FF1155CC"/>
        <u/>
      </rPr>
      <t>CARLOS ABREGO DAVILA</t>
    </r>
  </si>
  <si>
    <t>ABNER DUARTE</t>
  </si>
  <si>
    <r>
      <rPr>
        <rFont val="arial"/>
        <color rgb="FF1155CC"/>
        <u/>
      </rPr>
      <t>CARLOS ABREGO DAVILA</t>
    </r>
  </si>
  <si>
    <r>
      <rPr>
        <rFont val="arial"/>
        <color rgb="FF1155CC"/>
        <u/>
      </rPr>
      <t>JORGE EYSSERIC</t>
    </r>
  </si>
  <si>
    <t>HELBERT PEREZ</t>
  </si>
  <si>
    <r>
      <rPr>
        <rFont val="arial"/>
        <color rgb="FF1155CC"/>
        <u/>
      </rPr>
      <t>Jose Mac Mahan</t>
    </r>
  </si>
  <si>
    <t>JUAN FERNANDO MORENO RESTREPO</t>
  </si>
  <si>
    <r>
      <rPr>
        <rFont val="arial"/>
        <color rgb="FF1155CC"/>
        <u/>
      </rPr>
      <t>Jose Mac Mahan</t>
    </r>
  </si>
  <si>
    <t>8-839-2217</t>
  </si>
  <si>
    <t>ABEL LUIS CORNEJO</t>
  </si>
  <si>
    <t>6903-1270</t>
  </si>
  <si>
    <r>
      <rPr>
        <rFont val="arial"/>
        <color rgb="FF1155CC"/>
        <u/>
      </rPr>
      <t>JORGE EYSSERIC</t>
    </r>
  </si>
  <si>
    <r>
      <rPr>
        <rFont val="arial"/>
        <color rgb="FF1155CC"/>
        <u/>
      </rPr>
      <t>Farid Saba</t>
    </r>
  </si>
  <si>
    <t>E-8-119512</t>
  </si>
  <si>
    <t>FREDDY JOSE RODRIGUEZ</t>
  </si>
  <si>
    <r>
      <rPr>
        <rFont val="arial"/>
        <color rgb="FF1155CC"/>
        <u/>
      </rPr>
      <t>Farid Saba</t>
    </r>
  </si>
  <si>
    <r>
      <rPr>
        <rFont val="arial"/>
        <color rgb="FF1155CC"/>
        <u/>
      </rPr>
      <t>JUAN ELOY CASTILLO</t>
    </r>
  </si>
  <si>
    <t>E-8-163546</t>
  </si>
  <si>
    <t>PABLO ROUSSELIN</t>
  </si>
  <si>
    <t>6488-2117</t>
  </si>
  <si>
    <r>
      <rPr>
        <rFont val="arial"/>
        <color rgb="FF1155CC"/>
        <u/>
      </rPr>
      <t>Jean Laguna</t>
    </r>
  </si>
  <si>
    <t>RICARDO SIERRA</t>
  </si>
  <si>
    <r>
      <rPr>
        <rFont val="arial"/>
        <color rgb="FF1155CC"/>
        <u/>
      </rPr>
      <t>Jean Laguna</t>
    </r>
  </si>
  <si>
    <r>
      <rPr>
        <rFont val="arial"/>
        <color rgb="FF1155CC"/>
        <u/>
      </rPr>
      <t>Jean Laguna</t>
    </r>
  </si>
  <si>
    <t>FABIO GIL</t>
  </si>
  <si>
    <r>
      <rPr>
        <rFont val="arial"/>
        <color rgb="FF1155CC"/>
        <u/>
      </rPr>
      <t>Jean Laguna</t>
    </r>
  </si>
  <si>
    <t>YEHUDA PLOTKZKER</t>
  </si>
  <si>
    <r>
      <rPr>
        <rFont val="arial"/>
        <color rgb="FF1155CC"/>
        <u/>
      </rPr>
      <t>Jean Laguna</t>
    </r>
  </si>
  <si>
    <r>
      <rPr>
        <rFont val="arial"/>
        <color rgb="FF1155CC"/>
        <u/>
      </rPr>
      <t>Marco Ayarza hijo</t>
    </r>
  </si>
  <si>
    <t>MAURICIO ZAMORA</t>
  </si>
  <si>
    <r>
      <rPr>
        <rFont val="arial"/>
        <color rgb="FF1155CC"/>
        <u/>
      </rPr>
      <t>Marco Ayarza hijo</t>
    </r>
  </si>
  <si>
    <r>
      <rPr>
        <rFont val="arial"/>
        <color rgb="FF1155CC"/>
        <u/>
      </rPr>
      <t>Marco Ayarza papa</t>
    </r>
  </si>
  <si>
    <t>8-731-1668</t>
  </si>
  <si>
    <t>Gabriel Castellanos .</t>
  </si>
  <si>
    <t>69491127/PANAMA</t>
  </si>
  <si>
    <t>panama</t>
  </si>
  <si>
    <r>
      <rPr>
        <rFont val="arial"/>
        <color rgb="FF1155CC"/>
        <u/>
      </rPr>
      <t>Marco Ayarza papa</t>
    </r>
  </si>
  <si>
    <t>OSCAR FABIN LARA HERNANDEZ</t>
  </si>
  <si>
    <r>
      <rPr>
        <rFont val="arial"/>
        <color rgb="FF1155CC"/>
        <u/>
      </rPr>
      <t>Mario Castro</t>
    </r>
  </si>
  <si>
    <t>NICOLAS FABIAN LARA CALDERON</t>
  </si>
  <si>
    <r>
      <rPr>
        <rFont val="arial"/>
        <color rgb="FF1155CC"/>
        <u/>
      </rPr>
      <t>Mario Castro</t>
    </r>
  </si>
  <si>
    <r>
      <rPr>
        <rFont val="arial"/>
        <color rgb="FF1155CC"/>
        <u/>
      </rPr>
      <t>Mario Castro</t>
    </r>
  </si>
  <si>
    <t>8-913-249</t>
  </si>
  <si>
    <t>Grimaldo Cordoba</t>
  </si>
  <si>
    <t>6674-6959</t>
  </si>
  <si>
    <r>
      <rPr>
        <rFont val="arial"/>
        <color rgb="FF1155CC"/>
        <u/>
      </rPr>
      <t>Richar Altieri</t>
    </r>
  </si>
  <si>
    <t>E-8-155469</t>
  </si>
  <si>
    <t>Mario Castro</t>
  </si>
  <si>
    <t>322-2022</t>
  </si>
  <si>
    <r>
      <rPr>
        <rFont val="arial"/>
        <color rgb="FF1155CC"/>
        <u/>
      </rPr>
      <t>Ronaldo Crespo</t>
    </r>
  </si>
  <si>
    <t>mcastropty@gmail.com</t>
  </si>
  <si>
    <t>8-415-123</t>
  </si>
  <si>
    <t>Ricardo Díaz</t>
  </si>
  <si>
    <r>
      <rPr>
        <rFont val="arial"/>
        <color rgb="FF1155CC"/>
        <u/>
      </rPr>
      <t>Ronaldo Crespo</t>
    </r>
  </si>
  <si>
    <r>
      <rPr>
        <rFont val="arial"/>
        <color rgb="FF1155CC"/>
        <u/>
      </rPr>
      <t>Giovanny Prieto Angulo</t>
    </r>
  </si>
  <si>
    <t>JOHN HENRY OSORIO BARBOSA</t>
  </si>
  <si>
    <r>
      <rPr>
        <rFont val="arial"/>
        <color rgb="FF1155CC"/>
        <u/>
      </rPr>
      <t>Giovanny Prieto Angulo</t>
    </r>
  </si>
  <si>
    <r>
      <rPr>
        <rFont val="arial"/>
        <color rgb="FF1155CC"/>
        <u/>
      </rPr>
      <t>Nicolas Castillo Ojeda</t>
    </r>
  </si>
  <si>
    <t>ALIETHS ARROYO</t>
  </si>
  <si>
    <r>
      <rPr>
        <rFont val="arial"/>
        <color rgb="FF1155CC"/>
        <u/>
      </rPr>
      <t>Andres Trujillo</t>
    </r>
  </si>
  <si>
    <t>8-941-261</t>
  </si>
  <si>
    <t>SUFIAN DAYA</t>
  </si>
  <si>
    <r>
      <rPr>
        <rFont val="arial"/>
        <color rgb="FF1155CC"/>
        <u/>
      </rPr>
      <t>Ricardo Gil Ochoa</t>
    </r>
  </si>
  <si>
    <t>8-791-619</t>
  </si>
  <si>
    <t>JAMES APARICIO</t>
  </si>
  <si>
    <r>
      <rPr>
        <rFont val="arial"/>
        <color rgb="FF1155CC"/>
        <u/>
      </rPr>
      <t>Juan diego Mendez</t>
    </r>
  </si>
  <si>
    <t>6395-3938</t>
  </si>
  <si>
    <t>GIANLUCA BERTI</t>
  </si>
  <si>
    <r>
      <rPr>
        <rFont val="arial"/>
        <color rgb="FF1155CC"/>
        <u/>
      </rPr>
      <t>Juan Carlos Vallerino</t>
    </r>
  </si>
  <si>
    <r>
      <rPr>
        <rFont val="arial"/>
        <color rgb="FF1155CC"/>
        <u/>
      </rPr>
      <t>Ronaldo Perez</t>
    </r>
  </si>
  <si>
    <t>8-718-859</t>
  </si>
  <si>
    <t>JUAN BORRELL</t>
  </si>
  <si>
    <r>
      <rPr>
        <rFont val="arial"/>
        <color rgb="FF1155CC"/>
        <u/>
      </rPr>
      <t>Juan diego Mendez</t>
    </r>
  </si>
  <si>
    <r>
      <rPr>
        <rFont val="arial"/>
        <color rgb="FF1155CC"/>
        <u/>
      </rPr>
      <t>Ronaldo Perez</t>
    </r>
  </si>
  <si>
    <t>LUIS FELIPE OCHOA</t>
  </si>
  <si>
    <r>
      <rPr>
        <rFont val="arial"/>
        <color rgb="FF1155CC"/>
        <u/>
      </rPr>
      <t>Diego Miranda</t>
    </r>
  </si>
  <si>
    <t>ALVARO ROSAS JARA</t>
  </si>
  <si>
    <r>
      <rPr>
        <rFont val="arial"/>
        <color rgb="FF1155CC"/>
        <u/>
      </rPr>
      <t>Diego Miranda</t>
    </r>
  </si>
  <si>
    <r>
      <rPr>
        <rFont val="arial"/>
        <color rgb="FF1155CC"/>
        <u/>
      </rPr>
      <t>FRANK ALEXIS ABREGO</t>
    </r>
  </si>
  <si>
    <t>6550-4753-0</t>
  </si>
  <si>
    <t>DAVID SUCHAR</t>
  </si>
  <si>
    <t>JUAN FRANCISCO GOMEZ</t>
  </si>
  <si>
    <r>
      <rPr>
        <rFont val="arial"/>
        <color rgb="FF1155CC"/>
        <u/>
      </rPr>
      <t>FRANK ALEXIS ABREGO</t>
    </r>
  </si>
  <si>
    <r>
      <rPr>
        <rFont val="arial"/>
        <color rgb="FF1155CC"/>
        <u/>
      </rPr>
      <t>Mario Castro</t>
    </r>
  </si>
  <si>
    <r>
      <rPr>
        <rFont val="arial"/>
        <color rgb="FF1155CC"/>
        <u/>
      </rPr>
      <t>Mario Castro</t>
    </r>
  </si>
  <si>
    <t>8-787-399</t>
  </si>
  <si>
    <t>OSCAR TORRES PINZON</t>
  </si>
  <si>
    <r>
      <rPr>
        <rFont val="arial"/>
        <color rgb="FF1155CC"/>
        <u/>
      </rPr>
      <t>Mario Castro</t>
    </r>
  </si>
  <si>
    <r>
      <rPr>
        <rFont val="arial"/>
        <color rgb="FF1155CC"/>
        <u/>
      </rPr>
      <t>Mario Castro</t>
    </r>
  </si>
  <si>
    <t>832849-5315</t>
  </si>
  <si>
    <t>JOHN BARRETT</t>
  </si>
  <si>
    <r>
      <rPr>
        <rFont val="arial"/>
        <color rgb="FF1155CC"/>
        <u/>
      </rPr>
      <t>Mario Castro</t>
    </r>
  </si>
  <si>
    <r>
      <rPr>
        <rFont val="arial"/>
        <color rgb="FF1155CC"/>
        <u/>
      </rPr>
      <t>Mario Castro</t>
    </r>
  </si>
  <si>
    <t>EMILIO HERNANDEZ</t>
  </si>
  <si>
    <r>
      <rPr>
        <rFont val="arial"/>
        <color rgb="FF1155CC"/>
        <u/>
      </rPr>
      <t>Jacobo Chocron</t>
    </r>
  </si>
  <si>
    <r>
      <rPr>
        <rFont val="arial"/>
        <color rgb="FF1155CC"/>
        <u/>
      </rPr>
      <t>Diego Miranda</t>
    </r>
  </si>
  <si>
    <t>DIEGO VALERO MATEUS</t>
  </si>
  <si>
    <r>
      <rPr>
        <rFont val="arial"/>
        <color rgb="FF1155CC"/>
        <u/>
      </rPr>
      <t>FRANK ALEXIS ABREGO</t>
    </r>
  </si>
  <si>
    <r>
      <rPr>
        <rFont val="arial"/>
        <color rgb="FF1155CC"/>
        <u/>
      </rPr>
      <t>Juan Carlos Vallerino</t>
    </r>
  </si>
  <si>
    <r>
      <rPr>
        <rFont val="arial"/>
        <color rgb="FF1155CC"/>
        <u/>
      </rPr>
      <t>Juan Carlos Vallerino</t>
    </r>
  </si>
  <si>
    <t>6334-0425</t>
  </si>
  <si>
    <t>IAN NASM</t>
  </si>
  <si>
    <r>
      <rPr>
        <rFont val="arial"/>
        <color rgb="FF1155CC"/>
        <u/>
      </rPr>
      <t>Juan Carlos Vallerino</t>
    </r>
  </si>
  <si>
    <r>
      <rPr>
        <rFont val="arial"/>
        <color rgb="FF1155CC"/>
        <u/>
      </rPr>
      <t>Juan Carlos Vallerino</t>
    </r>
  </si>
  <si>
    <t>E-8-178836</t>
  </si>
  <si>
    <t>NORMAN VELASQUEZ</t>
  </si>
  <si>
    <r>
      <rPr>
        <rFont val="arial"/>
        <color rgb="FF1155CC"/>
        <u/>
      </rPr>
      <t>Franklin Mora Guerrero</t>
    </r>
  </si>
  <si>
    <t>5-14-1379</t>
  </si>
  <si>
    <t>OVIDIO MURILLO</t>
  </si>
  <si>
    <r>
      <rPr>
        <rFont val="arial"/>
        <color rgb="FF1155CC"/>
        <u/>
      </rPr>
      <t>Franklin Mora Guerrero</t>
    </r>
  </si>
  <si>
    <r>
      <rPr>
        <rFont val="arial"/>
        <color rgb="FF1155CC"/>
        <u/>
      </rPr>
      <t>Franklin Mora Guerrero</t>
    </r>
  </si>
  <si>
    <r>
      <rPr>
        <rFont val="arial"/>
        <color rgb="FF1155CC"/>
        <u/>
      </rPr>
      <t>Francisco Altieri</t>
    </r>
  </si>
  <si>
    <t>6550-4753</t>
  </si>
  <si>
    <t>YOSEF SUCHAR</t>
  </si>
  <si>
    <r>
      <rPr>
        <rFont val="arial"/>
        <color rgb="FF1155CC"/>
        <u/>
      </rPr>
      <t>Francisco Altieri</t>
    </r>
  </si>
  <si>
    <t>PE-12-1432</t>
  </si>
  <si>
    <t>ALLAN SCHACHETEL</t>
  </si>
  <si>
    <r>
      <rPr>
        <rFont val="arial"/>
        <color rgb="FF1155CC"/>
        <u/>
      </rPr>
      <t>Francisco Altieri</t>
    </r>
  </si>
  <si>
    <r>
      <rPr>
        <rFont val="arial"/>
        <color rgb="FF1155CC"/>
        <u/>
      </rPr>
      <t>Francisco Altieri</t>
    </r>
  </si>
  <si>
    <t>888-729-2150</t>
  </si>
  <si>
    <t>ANDRE MENDOZA PINZON</t>
  </si>
  <si>
    <r>
      <rPr>
        <rFont val="arial"/>
        <color rgb="FF1155CC"/>
        <u/>
      </rPr>
      <t>Francisco Altieri</t>
    </r>
  </si>
  <si>
    <r>
      <rPr>
        <rFont val="arial"/>
        <color rgb="FF1155CC"/>
        <u/>
      </rPr>
      <t>Francisco Altieri</t>
    </r>
  </si>
  <si>
    <t>4-162-1791</t>
  </si>
  <si>
    <r>
      <rPr>
        <rFont val="arial"/>
        <color rgb="FF1155CC"/>
        <u/>
      </rPr>
      <t>Richar Altieri</t>
    </r>
  </si>
  <si>
    <t>PAUL ALBA</t>
  </si>
  <si>
    <r>
      <rPr>
        <rFont val="arial"/>
        <color rgb="FF1155CC"/>
        <u/>
      </rPr>
      <t>Richar Altieri</t>
    </r>
  </si>
  <si>
    <r>
      <rPr>
        <rFont val="arial"/>
        <color rgb="FF1155CC"/>
        <u/>
      </rPr>
      <t>Richar Altieri</t>
    </r>
  </si>
  <si>
    <t>8-886-1819</t>
  </si>
  <si>
    <t>JOEL BETTSACK</t>
  </si>
  <si>
    <r>
      <rPr>
        <rFont val="arial"/>
        <color rgb="FF1155CC"/>
        <u/>
      </rPr>
      <t>Richar Altieri</t>
    </r>
  </si>
  <si>
    <r>
      <rPr>
        <rFont val="arial"/>
        <color rgb="FF1155CC"/>
        <u/>
      </rPr>
      <t>Tomas Stanziola</t>
    </r>
  </si>
  <si>
    <t>FELIPE ALVAREZ TRUJILLO</t>
  </si>
  <si>
    <r>
      <rPr>
        <rFont val="arial"/>
        <color rgb="FF1155CC"/>
        <u/>
      </rPr>
      <t>Tomas Stanziola</t>
    </r>
  </si>
  <si>
    <t>DANIEL VILLAR TRUJILLO</t>
  </si>
  <si>
    <r>
      <rPr>
        <rFont val="arial"/>
        <color rgb="FF1155CC"/>
        <u/>
      </rPr>
      <t>Tomas Stanziola</t>
    </r>
  </si>
  <si>
    <r>
      <rPr>
        <rFont val="arial"/>
        <color rgb="FF1155CC"/>
        <u/>
      </rPr>
      <t>Tomas Stanziola</t>
    </r>
  </si>
  <si>
    <t>JOHN FAJARDO MOLINA</t>
  </si>
  <si>
    <r>
      <rPr>
        <rFont val="arial"/>
        <color rgb="FF1155CC"/>
        <u/>
      </rPr>
      <t>Tomas Stanziola</t>
    </r>
  </si>
  <si>
    <r>
      <rPr>
        <rFont val="arial"/>
        <color rgb="FF1155CC"/>
        <u/>
      </rPr>
      <t>Tomas Stanziola</t>
    </r>
  </si>
  <si>
    <t>JAIME QUIROGA</t>
  </si>
  <si>
    <r>
      <rPr>
        <rFont val="arial"/>
        <color rgb="FF1155CC"/>
        <u/>
      </rPr>
      <t>Tomas Stanziola</t>
    </r>
  </si>
  <si>
    <r>
      <rPr>
        <rFont val="arial"/>
        <color rgb="FF1155CC"/>
        <u/>
      </rPr>
      <t>Eugene Altieri</t>
    </r>
  </si>
  <si>
    <t>E-8-200554</t>
  </si>
  <si>
    <t>ERNESTO PEREZ LUIS</t>
  </si>
  <si>
    <t>6924-3452</t>
  </si>
  <si>
    <r>
      <rPr>
        <rFont val="arial"/>
        <color rgb="FF1155CC"/>
        <u/>
      </rPr>
      <t>Eugene Altieri</t>
    </r>
  </si>
  <si>
    <r>
      <rPr>
        <rFont val="arial"/>
        <color rgb="FF1155CC"/>
        <u/>
      </rPr>
      <t>Eugene Altieri</t>
    </r>
  </si>
  <si>
    <t>8-305-253</t>
  </si>
  <si>
    <t>ADOLFO PRESCOTT</t>
  </si>
  <si>
    <r>
      <rPr>
        <rFont val="arial"/>
        <color rgb="FF1155CC"/>
        <u/>
      </rPr>
      <t>Eugene Altieri</t>
    </r>
  </si>
  <si>
    <t>6612-3661</t>
  </si>
  <si>
    <r>
      <rPr>
        <rFont val="arial"/>
        <color rgb="FF1155CC"/>
        <u/>
      </rPr>
      <t>Eugene Altieri</t>
    </r>
  </si>
  <si>
    <t>AGUSTIN MORENO</t>
  </si>
  <si>
    <r>
      <rPr>
        <rFont val="arial"/>
        <color rgb="FF1155CC"/>
        <u/>
      </rPr>
      <t>Eugene Altieri</t>
    </r>
  </si>
  <si>
    <r>
      <rPr>
        <rFont val="arial"/>
        <color rgb="FF1155CC"/>
        <u/>
      </rPr>
      <t>Eugene Altieri</t>
    </r>
  </si>
  <si>
    <r>
      <rPr>
        <rFont val="arial"/>
        <color rgb="FF1155CC"/>
        <u/>
      </rPr>
      <t>JOSE ALBERTO NIETO ROJAS</t>
    </r>
  </si>
  <si>
    <t>RICARDO LOPEZ</t>
  </si>
  <si>
    <r>
      <rPr>
        <rFont val="arial"/>
        <color rgb="FF1155CC"/>
        <u/>
      </rPr>
      <t>JOSE ALBERTO NIETO ROJAS</t>
    </r>
  </si>
  <si>
    <t>LUIS ESPARZA</t>
  </si>
  <si>
    <r>
      <rPr>
        <rFont val="arial"/>
        <color rgb="FF1155CC"/>
        <u/>
      </rPr>
      <t>Cesar Zebede</t>
    </r>
  </si>
  <si>
    <t>6422-5959</t>
  </si>
  <si>
    <t>BRADLEY QUINN DE LA GUARDIA (HIJO JESUS VALEIRO)</t>
  </si>
  <si>
    <r>
      <rPr>
        <rFont val="arial"/>
        <color rgb="FF1155CC"/>
        <u/>
      </rPr>
      <t>Mauricio Zebede</t>
    </r>
  </si>
  <si>
    <t>DAVID CORRO</t>
  </si>
  <si>
    <r>
      <rPr>
        <rFont val="arial"/>
        <color rgb="FF1155CC"/>
        <u/>
      </rPr>
      <t>Moises Zebede</t>
    </r>
  </si>
  <si>
    <r>
      <rPr>
        <rFont val="arial"/>
        <color rgb="FF1155CC"/>
        <u/>
      </rPr>
      <t>Rafael Stanziola Zebede</t>
    </r>
  </si>
  <si>
    <t>786-329-9080</t>
  </si>
  <si>
    <t>KEVIN MARINO CABRERA</t>
  </si>
  <si>
    <r>
      <rPr>
        <rFont val="arial"/>
        <color rgb="FF1155CC"/>
        <u/>
      </rPr>
      <t>Rafael Stanziola Zebede</t>
    </r>
  </si>
  <si>
    <r>
      <rPr>
        <rFont val="arial"/>
        <color rgb="FF1155CC"/>
        <u/>
      </rPr>
      <t>Rafael Stanziola Zebede</t>
    </r>
  </si>
  <si>
    <t>GUSTAVO OTALVARO</t>
  </si>
  <si>
    <r>
      <rPr>
        <rFont val="arial"/>
        <color rgb="FF1155CC"/>
        <u/>
      </rPr>
      <t>Ronaldo Crespo</t>
    </r>
  </si>
  <si>
    <r>
      <rPr>
        <rFont val="arial"/>
        <color rgb="FF1155CC"/>
        <u/>
      </rPr>
      <t>Ronaldo Crespo</t>
    </r>
  </si>
  <si>
    <t>8-700-1288</t>
  </si>
  <si>
    <t>GUMERSINDO GARCIA</t>
  </si>
  <si>
    <r>
      <rPr>
        <rFont val="arial"/>
        <color rgb="FF1155CC"/>
        <u/>
      </rPr>
      <t>Ronaldo Crespo</t>
    </r>
  </si>
  <si>
    <r>
      <rPr>
        <rFont val="arial"/>
        <color rgb="FF1155CC"/>
        <u/>
      </rPr>
      <t>Jovani Mora</t>
    </r>
  </si>
  <si>
    <t>JAVIER GONZALES</t>
  </si>
  <si>
    <t>6623-8501</t>
  </si>
  <si>
    <r>
      <rPr>
        <rFont val="arial"/>
        <color rgb="FF1155CC"/>
        <u/>
      </rPr>
      <t>Jovani Mora</t>
    </r>
  </si>
  <si>
    <t>8-300-175</t>
  </si>
  <si>
    <t>POLL ANRIA</t>
  </si>
  <si>
    <r>
      <rPr>
        <rFont val="arial"/>
        <color rgb="FF1155CC"/>
        <u/>
      </rPr>
      <t>Jovani Mora</t>
    </r>
  </si>
  <si>
    <r>
      <rPr>
        <rFont val="arial"/>
        <color rgb="FF1155CC"/>
        <u/>
      </rPr>
      <t>Jovani Mora</t>
    </r>
  </si>
  <si>
    <r>
      <rPr>
        <rFont val="arial"/>
        <color rgb="FF1155CC"/>
        <u/>
      </rPr>
      <t>Jovani Mora</t>
    </r>
  </si>
  <si>
    <t>8-391-140</t>
  </si>
  <si>
    <t>RODOLFO FERREIRA</t>
  </si>
  <si>
    <r>
      <rPr>
        <rFont val="arial"/>
        <color rgb="FF1155CC"/>
        <u/>
      </rPr>
      <t>Jovani Mora</t>
    </r>
  </si>
  <si>
    <r>
      <rPr>
        <rFont val="arial"/>
        <color rgb="FF1155CC"/>
        <u/>
      </rPr>
      <t>Alessandro Carretero</t>
    </r>
  </si>
  <si>
    <t>8-811-174</t>
  </si>
  <si>
    <t>RICARDO VALENCIA</t>
  </si>
  <si>
    <r>
      <rPr>
        <rFont val="arial"/>
        <color rgb="FF1155CC"/>
        <u/>
      </rPr>
      <t>Alessandro Carretero</t>
    </r>
  </si>
  <si>
    <r>
      <rPr>
        <rFont val="arial"/>
        <color rgb="FF1155CC"/>
        <u/>
      </rPr>
      <t>Alessandro Carretero</t>
    </r>
  </si>
  <si>
    <t>8-309-624</t>
  </si>
  <si>
    <t>ROGER MOJICA</t>
  </si>
  <si>
    <r>
      <rPr>
        <rFont val="arial"/>
        <color rgb="FF1155CC"/>
        <u/>
      </rPr>
      <t>Alessandro Carretero</t>
    </r>
  </si>
  <si>
    <r>
      <rPr>
        <rFont val="arial"/>
        <color rgb="FF1155CC"/>
        <u/>
      </rPr>
      <t>Alessandro Carretero</t>
    </r>
  </si>
  <si>
    <t>8-826-254</t>
  </si>
  <si>
    <t>JAVIER SUAREZ PINZON</t>
  </si>
  <si>
    <r>
      <rPr>
        <rFont val="arial"/>
        <color rgb="FF1155CC"/>
        <u/>
      </rPr>
      <t>Alessandro Carretero</t>
    </r>
  </si>
  <si>
    <r>
      <rPr>
        <rFont val="arial"/>
        <color rgb="FF1155CC"/>
        <u/>
      </rPr>
      <t>Alessandro Carretero</t>
    </r>
  </si>
  <si>
    <t>6-42-215</t>
  </si>
  <si>
    <t>NARCISO ARELLANO MORENO</t>
  </si>
  <si>
    <r>
      <rPr>
        <rFont val="arial"/>
        <color rgb="FF1155CC"/>
        <u/>
      </rPr>
      <t>GERARDO ALBERTO SOLIS ARIAS</t>
    </r>
  </si>
  <si>
    <t>6615-1778</t>
  </si>
  <si>
    <r>
      <rPr>
        <rFont val="arial"/>
        <color rgb="FF1155CC"/>
        <u/>
      </rPr>
      <t>GERARDO ALBERTO SOLIS ARIAS</t>
    </r>
  </si>
  <si>
    <r>
      <rPr>
        <rFont val="arial"/>
        <color rgb="FF1155CC"/>
        <u/>
      </rPr>
      <t>GERARDO ALBERTO SOLIS ARIAS</t>
    </r>
  </si>
  <si>
    <t>E-8-208063</t>
  </si>
  <si>
    <t>ELIASID ELISEA TORRES CHAPARRO</t>
  </si>
  <si>
    <t>6442-2600</t>
  </si>
  <si>
    <r>
      <rPr>
        <rFont val="arial"/>
        <color rgb="FF1155CC"/>
        <u/>
      </rPr>
      <t>GERARDO ALBERTO SOLIS ARIAS</t>
    </r>
  </si>
  <si>
    <r>
      <rPr>
        <rFont val="arial"/>
        <color rgb="FF1155CC"/>
        <u/>
      </rPr>
      <t>GERARDO ALBERTO SOLIS ARIAS</t>
    </r>
  </si>
  <si>
    <t>8-918-753</t>
  </si>
  <si>
    <t>LUIS GARCIA</t>
  </si>
  <si>
    <r>
      <rPr>
        <rFont val="arial"/>
        <color rgb="FF1155CC"/>
        <u/>
      </rPr>
      <t>GERARDO ALBERTO SOLIS ARIAS</t>
    </r>
  </si>
  <si>
    <r>
      <rPr>
        <rFont val="arial"/>
        <color rgb="FF1155CC"/>
        <u/>
      </rPr>
      <t>GERARDO ALBERTO SOLIS ARIAS</t>
    </r>
  </si>
  <si>
    <t>8-751-1444</t>
  </si>
  <si>
    <t>JESUS VELEIRO CARBALLEDA</t>
  </si>
  <si>
    <t>5076679-2098</t>
  </si>
  <si>
    <r>
      <rPr>
        <rFont val="arial"/>
        <color rgb="FF1155CC"/>
        <u/>
      </rPr>
      <t>GERARDO ALBERTO SOLIS ARIAS</t>
    </r>
  </si>
  <si>
    <t>JUAN FELIPE PENA RAMIREZ</t>
  </si>
  <si>
    <r>
      <rPr>
        <rFont val="arial"/>
        <color rgb="FF1155CC"/>
        <u/>
      </rPr>
      <t>Jose Mac Mahan</t>
    </r>
  </si>
  <si>
    <r>
      <rPr>
        <rFont val="arial"/>
        <color rgb="FF1155CC"/>
        <u/>
      </rPr>
      <t>Armando King</t>
    </r>
  </si>
  <si>
    <t>8-499-241</t>
  </si>
  <si>
    <t>RAFAEL BROWN RANGEL</t>
  </si>
  <si>
    <t>6678-1367</t>
  </si>
  <si>
    <r>
      <rPr>
        <rFont val="arial"/>
        <color rgb="FF1155CC"/>
        <u/>
      </rPr>
      <t>Armando King</t>
    </r>
  </si>
  <si>
    <t>507 674703398</t>
  </si>
  <si>
    <t>JORGE RODRIGUEZ</t>
  </si>
  <si>
    <r>
      <rPr>
        <rFont val="arial"/>
        <color rgb="FF1155CC"/>
        <u/>
      </rPr>
      <t>Farid Saba</t>
    </r>
  </si>
  <si>
    <r>
      <rPr>
        <rFont val="arial"/>
        <color rgb="FF1155CC"/>
        <u/>
      </rPr>
      <t>Farid Saba</t>
    </r>
  </si>
  <si>
    <t>8-288-951</t>
  </si>
  <si>
    <t>JUAN MANUEL BARLETTA</t>
  </si>
  <si>
    <t>6933-3839</t>
  </si>
  <si>
    <r>
      <rPr>
        <rFont val="arial"/>
        <color rgb="FF1155CC"/>
        <u/>
      </rPr>
      <t>JOSE ALBERTO NIETO ROJAS</t>
    </r>
  </si>
  <si>
    <r>
      <rPr>
        <rFont val="arial"/>
        <color rgb="FF1155CC"/>
        <u/>
      </rPr>
      <t>SANTIAGO NIETO RUEDA</t>
    </r>
  </si>
  <si>
    <t>5O7 67249957</t>
  </si>
  <si>
    <t>ELISEO TORRES BARRAGAN</t>
  </si>
  <si>
    <t>5O767249957/PANAMA</t>
  </si>
  <si>
    <r>
      <rPr>
        <rFont val="arial"/>
        <color rgb="FF1155CC"/>
        <u/>
      </rPr>
      <t>OMAR EUGENIO CAMERO</t>
    </r>
  </si>
  <si>
    <t>813-263-7844</t>
  </si>
  <si>
    <t>MAURIZIO ITALO PIGNANO</t>
  </si>
  <si>
    <r>
      <rPr>
        <rFont val="arial"/>
        <color rgb="FF1155CC"/>
        <u/>
      </rPr>
      <t>JAVIER CARRIZO ARIAS</t>
    </r>
  </si>
  <si>
    <t>ANIBAL NAVARRO</t>
  </si>
  <si>
    <r>
      <rPr>
        <rFont val="arial"/>
        <color rgb="FF1155CC"/>
        <u/>
      </rPr>
      <t>Juan Bernal</t>
    </r>
  </si>
  <si>
    <t>ERNESTO CALVO JR</t>
  </si>
  <si>
    <r>
      <rPr>
        <rFont val="arial"/>
        <color rgb="FF1155CC"/>
        <u/>
      </rPr>
      <t>Juan Bernal</t>
    </r>
  </si>
  <si>
    <r>
      <rPr>
        <rFont val="arial"/>
        <color rgb="FF1155CC"/>
        <u/>
      </rPr>
      <t>Juan Bernal</t>
    </r>
  </si>
  <si>
    <t>6677-1117</t>
  </si>
  <si>
    <t>LUIS ENRIQUE BANDERA</t>
  </si>
  <si>
    <r>
      <rPr>
        <rFont val="arial"/>
        <color rgb="FF1155CC"/>
        <u/>
      </rPr>
      <t>Julian Ocampo</t>
    </r>
  </si>
  <si>
    <r>
      <rPr>
        <rFont val="arial"/>
        <color rgb="FF1155CC"/>
        <u/>
      </rPr>
      <t>Julian Ocampo</t>
    </r>
  </si>
  <si>
    <t>8-932-382</t>
  </si>
  <si>
    <t>RICARDO RIOS HIJO</t>
  </si>
  <si>
    <r>
      <rPr>
        <rFont val="arial"/>
        <color rgb="FF1155CC"/>
        <u/>
      </rPr>
      <t>Julian Ocampo</t>
    </r>
  </si>
  <si>
    <r>
      <rPr>
        <rFont val="arial"/>
        <color rgb="FF1155CC"/>
        <u/>
      </rPr>
      <t>Luis Fernando Gómez</t>
    </r>
  </si>
  <si>
    <t>4-150992</t>
  </si>
  <si>
    <t>RICARDO RIOS ARAUZ PAPA</t>
  </si>
  <si>
    <r>
      <rPr>
        <rFont val="arial"/>
        <color rgb="FF1155CC"/>
        <u/>
      </rPr>
      <t>Luis Fernando Gómez</t>
    </r>
  </si>
  <si>
    <r>
      <rPr>
        <rFont val="arial"/>
        <color rgb="FF1155CC"/>
        <u/>
      </rPr>
      <t>Luis Fernando Gómez</t>
    </r>
  </si>
  <si>
    <t>6613-1529</t>
  </si>
  <si>
    <t>ALFREDO ZEBEDE FREDDY</t>
  </si>
  <si>
    <r>
      <rPr>
        <rFont val="arial"/>
        <color rgb="FF1155CC"/>
        <u/>
      </rPr>
      <t>Luis Gabriel Marín</t>
    </r>
  </si>
  <si>
    <r>
      <rPr>
        <rFont val="arial"/>
        <color rgb="FF1155CC"/>
        <u/>
      </rPr>
      <t>Luis Rodríguez DIMAYOR</t>
    </r>
  </si>
  <si>
    <t>8-222-1935</t>
  </si>
  <si>
    <t>JUAN ANTONIO HERRERA</t>
  </si>
  <si>
    <r>
      <rPr>
        <rFont val="arial"/>
        <color rgb="FF1155CC"/>
        <u/>
      </rPr>
      <t>Guiovanni Beltrán DIMAYOR</t>
    </r>
  </si>
  <si>
    <t>4-206-200</t>
  </si>
  <si>
    <t>JULIO MENDEZ</t>
  </si>
  <si>
    <r>
      <rPr>
        <rFont val="arial"/>
        <color rgb="FF1155CC"/>
        <u/>
      </rPr>
      <t>Rodrigo Cubillos</t>
    </r>
  </si>
  <si>
    <t>E-8-137726</t>
  </si>
  <si>
    <t>TOMAS POLANCO</t>
  </si>
  <si>
    <r>
      <rPr>
        <rFont val="arial"/>
        <color rgb="FF1155CC"/>
        <u/>
      </rPr>
      <t>Jordan Prieto</t>
    </r>
  </si>
  <si>
    <t>DAVID MISSRIE</t>
  </si>
  <si>
    <r>
      <rPr>
        <rFont val="arial"/>
        <color rgb="FF1155CC"/>
        <u/>
      </rPr>
      <t>EDGAR REYES</t>
    </r>
  </si>
  <si>
    <r>
      <rPr>
        <rFont val="arial"/>
        <color rgb="FF1155CC"/>
        <u/>
      </rPr>
      <t>EDGAR REYES</t>
    </r>
  </si>
  <si>
    <t>E-8-123567</t>
  </si>
  <si>
    <t>JUAN CARLOS ALVARO LOPEZ ABUELO</t>
  </si>
  <si>
    <r>
      <rPr>
        <rFont val="arial"/>
        <color rgb="FF1155CC"/>
        <u/>
      </rPr>
      <t>Aniel Beltran</t>
    </r>
  </si>
  <si>
    <t>6769+7032</t>
  </si>
  <si>
    <t>RICARDO CORDOBA AEROPUERTO</t>
  </si>
  <si>
    <t>6769-7032</t>
  </si>
  <si>
    <r>
      <rPr>
        <rFont val="arial"/>
        <color rgb="FF1155CC"/>
        <u/>
      </rPr>
      <t>Aniel Beltran</t>
    </r>
  </si>
  <si>
    <r>
      <rPr>
        <rFont val="arial"/>
        <color rgb="FF1155CC"/>
        <u/>
      </rPr>
      <t>JUAN CARLOS Bárcenas</t>
    </r>
  </si>
  <si>
    <t>4-141-218</t>
  </si>
  <si>
    <t>ALFREDO ZEBEDE PAPA</t>
  </si>
  <si>
    <r>
      <rPr>
        <rFont val="arial"/>
        <color rgb="FF1155CC"/>
        <u/>
      </rPr>
      <t>JUAN CARLOS Bárcenas</t>
    </r>
  </si>
  <si>
    <r>
      <rPr>
        <rFont val="arial"/>
        <color rgb="FF1155CC"/>
        <u/>
      </rPr>
      <t>PAUL J. FITZGERALD</t>
    </r>
  </si>
  <si>
    <t>6949-9598</t>
  </si>
  <si>
    <t>LUIS SANTA MARIA</t>
  </si>
  <si>
    <r>
      <rPr>
        <rFont val="arial"/>
        <color rgb="FF1155CC"/>
        <u/>
      </rPr>
      <t>PAUL J. FITZGERALD</t>
    </r>
  </si>
  <si>
    <t>8-314-250</t>
  </si>
  <si>
    <t>RAUL DIAZ</t>
  </si>
  <si>
    <r>
      <rPr>
        <rFont val="arial"/>
        <color rgb="FF1155CC"/>
        <u/>
      </rPr>
      <t>Gabriel Castellanos .</t>
    </r>
  </si>
  <si>
    <r>
      <rPr>
        <rFont val="arial"/>
        <color rgb="FF1155CC"/>
        <u/>
      </rPr>
      <t>Andres Trujillo</t>
    </r>
  </si>
  <si>
    <t>8-943-2259</t>
  </si>
  <si>
    <r>
      <rPr>
        <rFont val="arial"/>
        <color rgb="FF1155CC"/>
        <u/>
      </rPr>
      <t>Andres Trujillo</t>
    </r>
  </si>
  <si>
    <t>RAMON DE JANON</t>
  </si>
  <si>
    <r>
      <rPr>
        <rFont val="arial"/>
        <color rgb="FF1155CC"/>
        <u/>
      </rPr>
      <t>Andres Trujillo</t>
    </r>
  </si>
  <si>
    <r>
      <rPr>
        <rFont val="arial"/>
        <color rgb="FF1155CC"/>
        <u/>
      </rPr>
      <t>Andres Trujillo</t>
    </r>
  </si>
  <si>
    <t>8-398-262</t>
  </si>
  <si>
    <t>GABRIEL DE JANON PAPA PAPA</t>
  </si>
  <si>
    <r>
      <rPr>
        <rFont val="arial"/>
        <color rgb="FF1155CC"/>
        <u/>
      </rPr>
      <t>Francisco García</t>
    </r>
  </si>
  <si>
    <t>6253-9190</t>
  </si>
  <si>
    <t>ARTURO DE JANON</t>
  </si>
  <si>
    <r>
      <rPr>
        <rFont val="arial"/>
        <color rgb="FF1155CC"/>
        <u/>
      </rPr>
      <t>Camilo Mosquera</t>
    </r>
  </si>
  <si>
    <t>LARGO 79/LARGO 76</t>
  </si>
  <si>
    <t>8-868-1606</t>
  </si>
  <si>
    <t>GUSTAVO ADOLFO GUERRA RODRIGUEZ</t>
  </si>
  <si>
    <r>
      <rPr>
        <rFont val="arial"/>
        <color rgb="FF1155CC"/>
        <u/>
      </rPr>
      <t>Camilo Mosquera</t>
    </r>
  </si>
  <si>
    <r>
      <rPr>
        <rFont val="arial"/>
        <color rgb="FF1155CC"/>
        <u/>
      </rPr>
      <t>JUAN PABLO VALENCIA</t>
    </r>
  </si>
  <si>
    <t>8-312-153</t>
  </si>
  <si>
    <t>Jorge Oscar ORTEGA LLAMAS</t>
  </si>
  <si>
    <r>
      <rPr>
        <rFont val="arial"/>
        <color rgb="FF1155CC"/>
        <u/>
      </rPr>
      <t>JOSE ALBERTO NIETO ROJAS</t>
    </r>
  </si>
  <si>
    <r>
      <rPr>
        <rFont val="arial"/>
        <color rgb="FF1155CC"/>
        <u/>
      </rPr>
      <t>JOSE ALBERTO NIETO ROJAS</t>
    </r>
  </si>
  <si>
    <t>8-732-1220</t>
  </si>
  <si>
    <t>Eduardo GUERRERO</t>
  </si>
  <si>
    <r>
      <rPr>
        <rFont val="arial"/>
        <color rgb="FF1155CC"/>
        <u/>
      </rPr>
      <t>SANTIAGO NIETO RUEDA</t>
    </r>
  </si>
  <si>
    <r>
      <rPr>
        <rFont val="arial"/>
        <color rgb="FF1155CC"/>
        <u/>
      </rPr>
      <t>Gabriel Solis</t>
    </r>
  </si>
  <si>
    <t>8-914-632</t>
  </si>
  <si>
    <t>JOSE GOMEZ</t>
  </si>
  <si>
    <r>
      <rPr>
        <rFont val="arial"/>
        <color rgb="FF1155CC"/>
        <u/>
      </rPr>
      <t>Gabriel Solis</t>
    </r>
  </si>
  <si>
    <r>
      <rPr>
        <rFont val="arial"/>
        <color rgb="FF1155CC"/>
        <u/>
      </rPr>
      <t>FRANCISCO AMEGLIO</t>
    </r>
  </si>
  <si>
    <t>Yeison Cardenas</t>
  </si>
  <si>
    <r>
      <rPr>
        <rFont val="arial"/>
        <color rgb="FF1155CC"/>
        <u/>
      </rPr>
      <t>FRANCISCO AMEGLIO</t>
    </r>
  </si>
  <si>
    <r>
      <rPr>
        <rFont val="arial"/>
        <color rgb="FF1155CC"/>
        <u/>
      </rPr>
      <t>SANTIAGO NIETO RUEDA</t>
    </r>
  </si>
  <si>
    <t>Orlando Rivera</t>
  </si>
  <si>
    <r>
      <rPr>
        <rFont val="arial"/>
        <color rgb="FF1155CC"/>
        <u/>
      </rPr>
      <t>CESAR TABAREZ</t>
    </r>
  </si>
  <si>
    <r>
      <rPr>
        <rFont val="arial"/>
        <color rgb="FF1155CC"/>
        <u/>
      </rPr>
      <t>SALVADOR STANZIOLA</t>
    </r>
  </si>
  <si>
    <t>Juan Pablo Triana Giraldo</t>
  </si>
  <si>
    <t>juangiraldo8@gmail.com</t>
  </si>
  <si>
    <t>cra 22 3 127 d 80</t>
  </si>
  <si>
    <r>
      <rPr>
        <rFont val="arial"/>
        <color rgb="FF1155CC"/>
        <u/>
      </rPr>
      <t>SALVADOR STANZIOLA</t>
    </r>
  </si>
  <si>
    <t>Abdul Waked</t>
  </si>
  <si>
    <r>
      <rPr>
        <rFont val="arial"/>
        <color rgb="FF1155CC"/>
        <u/>
      </rPr>
      <t>CARLOS ERNESTO MOLINA HONDAL</t>
    </r>
  </si>
  <si>
    <r>
      <rPr>
        <rFont val="arial"/>
        <color rgb="FF1155CC"/>
        <u/>
      </rPr>
      <t>DON GOMEZ</t>
    </r>
  </si>
  <si>
    <t>Jafet Cruz Morris</t>
  </si>
  <si>
    <r>
      <rPr>
        <rFont val="arial"/>
        <color rgb="FF1155CC"/>
        <u/>
      </rPr>
      <t>DON GOMEZ</t>
    </r>
  </si>
  <si>
    <r>
      <rPr>
        <rFont val="arial"/>
        <color rgb="FF1155CC"/>
        <u/>
      </rPr>
      <t>DON GOMEZ</t>
    </r>
  </si>
  <si>
    <t>Moises Laniado</t>
  </si>
  <si>
    <r>
      <rPr>
        <rFont val="arial"/>
        <color rgb="FF1155CC"/>
        <u/>
      </rPr>
      <t>DON GOMEZ</t>
    </r>
  </si>
  <si>
    <r>
      <rPr>
        <rFont val="arial"/>
        <color rgb="FF1155CC"/>
        <u/>
      </rPr>
      <t>AVI HERMAN</t>
    </r>
  </si>
  <si>
    <t>Francisco Padilla</t>
  </si>
  <si>
    <r>
      <rPr>
        <rFont val="arial"/>
        <color rgb="FF1155CC"/>
        <u/>
      </rPr>
      <t>AVI HERMAN</t>
    </r>
  </si>
  <si>
    <t>4-1421229</t>
  </si>
  <si>
    <t>Benjamin Justavino Medina</t>
  </si>
  <si>
    <r>
      <rPr>
        <rFont val="arial"/>
        <color rgb="FF1155CC"/>
        <u/>
      </rPr>
      <t>AVI HERMAN</t>
    </r>
  </si>
  <si>
    <r>
      <rPr>
        <rFont val="arial"/>
        <color rgb="FF1155CC"/>
        <u/>
      </rPr>
      <t>LUIS MORA TIO</t>
    </r>
  </si>
  <si>
    <t>Carlos Almanza</t>
  </si>
  <si>
    <r>
      <rPr>
        <rFont val="arial"/>
        <color rgb="FF1155CC"/>
        <u/>
      </rPr>
      <t>MANUEL ZARATE</t>
    </r>
  </si>
  <si>
    <t>E-8-208827</t>
  </si>
  <si>
    <t>Rafael Rosas</t>
  </si>
  <si>
    <r>
      <rPr>
        <rFont val="arial"/>
        <color rgb="FF1155CC"/>
        <u/>
      </rPr>
      <t>RAMON DE JANON</t>
    </r>
  </si>
  <si>
    <t>8-1023-2468</t>
  </si>
  <si>
    <t>Victor Djamous</t>
  </si>
  <si>
    <r>
      <rPr>
        <rFont val="arial"/>
        <color rgb="FF1155CC"/>
        <u/>
      </rPr>
      <t>RAMON DE JANON</t>
    </r>
  </si>
  <si>
    <r>
      <rPr>
        <rFont val="arial"/>
        <color rgb="FF1155CC"/>
        <u/>
      </rPr>
      <t>GERARDO ALBERTO SOLIS ARIAS</t>
    </r>
  </si>
  <si>
    <t>Jean Morales Garcia</t>
  </si>
  <si>
    <t>juanpgiraldo8@gmail.com</t>
  </si>
  <si>
    <t>bogota</t>
  </si>
  <si>
    <r>
      <rPr>
        <rFont val="arial"/>
        <color rgb="FF1155CC"/>
        <u/>
      </rPr>
      <t>GERARDO ALBERTO SOLIS ARIAS</t>
    </r>
  </si>
  <si>
    <r>
      <rPr>
        <rFont val="arial"/>
        <color rgb="FF1155CC"/>
        <u/>
      </rPr>
      <t>JAVIER CARRIZO ARIAS</t>
    </r>
  </si>
  <si>
    <t>Carlos Sanchez</t>
  </si>
  <si>
    <t>calle 6 c 81 a 57</t>
  </si>
  <si>
    <r>
      <rPr>
        <rFont val="arial"/>
        <color rgb="FF1155CC"/>
        <u/>
      </rPr>
      <t>OMAR EUGENIO CAMERO</t>
    </r>
  </si>
  <si>
    <r>
      <rPr>
        <rFont val="arial"/>
        <color rgb="FF1155CC"/>
        <u/>
      </rPr>
      <t>OMAR EUGENIO CAMERO</t>
    </r>
  </si>
  <si>
    <t>Eutimio Nalupa</t>
  </si>
  <si>
    <t>vera99@hotmail.com</t>
  </si>
  <si>
    <t>calle 60 # 22 - 99</t>
  </si>
  <si>
    <r>
      <rPr>
        <rFont val="arial"/>
        <color rgb="FF1155CC"/>
        <u/>
      </rPr>
      <t>Diego Gonzales</t>
    </r>
  </si>
  <si>
    <t>Luis Carlos Melo</t>
  </si>
  <si>
    <r>
      <rPr>
        <rFont val="arial"/>
        <color rgb="FF1155CC"/>
        <u/>
      </rPr>
      <t>Luis Nelfor</t>
    </r>
  </si>
  <si>
    <t>melovidacarlosluis@hotmail.com</t>
  </si>
  <si>
    <t>calle 95 # 21 - 52</t>
  </si>
  <si>
    <r>
      <rPr>
        <rFont val="arial"/>
        <color rgb="FF1155CC"/>
        <u/>
      </rPr>
      <t>Luis Nelfor</t>
    </r>
  </si>
  <si>
    <t>Jose Luis Fabregas</t>
  </si>
  <si>
    <r>
      <rPr>
        <rFont val="arial"/>
        <color rgb="FF1155CC"/>
        <u/>
      </rPr>
      <t>Gerardo Segura</t>
    </r>
  </si>
  <si>
    <t>Berty Alberto Djamous</t>
  </si>
  <si>
    <r>
      <rPr>
        <rFont val="arial"/>
        <color rgb="FF1155CC"/>
        <u/>
      </rPr>
      <t>Gerardo Segura</t>
    </r>
  </si>
  <si>
    <r>
      <rPr>
        <rFont val="arial"/>
        <color rgb="FF1155CC"/>
        <u/>
      </rPr>
      <t>Sebastian Segura</t>
    </r>
  </si>
  <si>
    <t>Ramiro Rueda Ossa</t>
  </si>
  <si>
    <r>
      <rPr>
        <rFont val="arial"/>
        <color rgb="FF1155CC"/>
        <u/>
      </rPr>
      <t>ALIETHS ARROYO</t>
    </r>
  </si>
  <si>
    <t>Gregorio Valencia Flautero</t>
  </si>
  <si>
    <r>
      <rPr>
        <rFont val="arial"/>
        <color rgb="FF1155CC"/>
        <u/>
      </rPr>
      <t>AURELIANO GONZALEZ RICO</t>
    </r>
  </si>
  <si>
    <t>Gregorioflauero@hotmail.com</t>
  </si>
  <si>
    <t>cll 159 # 56-75 inte 17-04</t>
  </si>
  <si>
    <r>
      <rPr>
        <rFont val="arial"/>
        <color rgb="FF1155CC"/>
        <u/>
      </rPr>
      <t>LUIS DANIEL SIATOBA RODRIGUEZ</t>
    </r>
  </si>
  <si>
    <t>Gilbert Montenegro Ocampo</t>
  </si>
  <si>
    <t>gilibert10@gmail.com</t>
  </si>
  <si>
    <t>av. 72 # 67-75</t>
  </si>
  <si>
    <r>
      <rPr>
        <rFont val="arial"/>
        <color rgb="FF1155CC"/>
        <u/>
      </rPr>
      <t>LUIS DANIEL SIATOBA RODRIGUEZ</t>
    </r>
  </si>
  <si>
    <r>
      <rPr>
        <rFont val="arial"/>
        <color rgb="FF1155CC"/>
        <u/>
      </rPr>
      <t>LUIS DANIEL SIATOBA RODRIGUEZ</t>
    </r>
  </si>
  <si>
    <t>Ricardo Herrera Correa</t>
  </si>
  <si>
    <r>
      <rPr>
        <rFont val="arial"/>
        <color rgb="FF1155CC"/>
        <u/>
      </rPr>
      <t>DANIEL SIATOBA RODRIGUEZ</t>
    </r>
  </si>
  <si>
    <t>Jeison Hernan Hermandez Garcia</t>
  </si>
  <si>
    <t>jeisonhhgar@outlook.es</t>
  </si>
  <si>
    <r>
      <rPr>
        <rFont val="arial"/>
        <color rgb="FF1155CC"/>
        <u/>
      </rPr>
      <t>DANIEL SIATOBA RODRIGUEZ</t>
    </r>
  </si>
  <si>
    <t>calle 3 sur # 70-81</t>
  </si>
  <si>
    <r>
      <rPr>
        <rFont val="arial"/>
        <color rgb="FF1155CC"/>
        <u/>
      </rPr>
      <t>DANIEL SIATOBA RODRIGUEZ</t>
    </r>
  </si>
  <si>
    <t>Sergio Andres Morales Diaz</t>
  </si>
  <si>
    <r>
      <rPr>
        <rFont val="arial"/>
        <color rgb="FF1155CC"/>
        <u/>
      </rPr>
      <t>Andres Bolivar</t>
    </r>
  </si>
  <si>
    <t>andremo2512@gmail.com</t>
  </si>
  <si>
    <t>cra 76 # 20 - 71</t>
  </si>
  <si>
    <t>Carlos Eduardo Anaya Saltarin</t>
  </si>
  <si>
    <r>
      <rPr>
        <rFont val="arial"/>
        <color rgb="FF1155CC"/>
        <u/>
      </rPr>
      <t>Andres Bolivar</t>
    </r>
  </si>
  <si>
    <t>Calle 146 # 17-30</t>
  </si>
  <si>
    <r>
      <rPr>
        <rFont val="arial"/>
        <color rgb="FF1155CC"/>
        <u/>
      </rPr>
      <t>MAURICIO CABRERA</t>
    </r>
  </si>
  <si>
    <t>Andres Gaitan</t>
  </si>
  <si>
    <t>andresgaro16@hotmail.com</t>
  </si>
  <si>
    <t>cll 24 a 57-69</t>
  </si>
  <si>
    <r>
      <rPr>
        <rFont val="arial"/>
        <color rgb="FF1155CC"/>
        <u/>
      </rPr>
      <t>MOISES CATAÑO</t>
    </r>
  </si>
  <si>
    <t>Vinicius Branco</t>
  </si>
  <si>
    <r>
      <rPr>
        <rFont val="arial"/>
        <color rgb="FF1155CC"/>
        <u/>
      </rPr>
      <t>JOHAN CARTAGENA</t>
    </r>
  </si>
  <si>
    <t>Rodrigo Naranjo Arango</t>
  </si>
  <si>
    <r>
      <rPr>
        <rFont val="arial"/>
        <color rgb="FF1155CC"/>
        <u/>
      </rPr>
      <t>NICHOLAS KOROM</t>
    </r>
  </si>
  <si>
    <r>
      <rPr>
        <rFont val="arial"/>
        <color rgb="FF1155CC"/>
        <u/>
      </rPr>
      <t>EMMANUEL ZULUAGA</t>
    </r>
  </si>
  <si>
    <t>Charles Larrachondo</t>
  </si>
  <si>
    <t>charleslarrachondo@hotmail.com</t>
  </si>
  <si>
    <t>Jaime Alonso Ladino Prieto</t>
  </si>
  <si>
    <r>
      <rPr>
        <rFont val="arial"/>
        <color rgb="FF1155CC"/>
        <u/>
      </rPr>
      <t>MAURICIO MARTINEZ</t>
    </r>
  </si>
  <si>
    <t>Nicolas Sanchez Polania</t>
  </si>
  <si>
    <r>
      <rPr>
        <rFont val="arial"/>
        <color rgb="FF1155CC"/>
        <u/>
      </rPr>
      <t>JULIO ENRIQUE MOLTO HIJO</t>
    </r>
  </si>
  <si>
    <t>Nicolasp05@gmail.com</t>
  </si>
  <si>
    <r>
      <rPr>
        <rFont val="arial"/>
        <color rgb="FF1155CC"/>
        <u/>
      </rPr>
      <t>RAMON DE JANON</t>
    </r>
  </si>
  <si>
    <t>entregado</t>
  </si>
  <si>
    <t>elkin Mendivelso Rubio</t>
  </si>
  <si>
    <r>
      <rPr>
        <rFont val="arial"/>
        <color rgb="FF1155CC"/>
        <u/>
      </rPr>
      <t>RAMON DE JANON</t>
    </r>
  </si>
  <si>
    <r>
      <rPr>
        <rFont val="arial"/>
        <color rgb="FF1155CC"/>
        <u/>
      </rPr>
      <t>EDWIN ANTONIO VERGARA CASTILLO</t>
    </r>
  </si>
  <si>
    <t>Karina Bustos Martinez</t>
  </si>
  <si>
    <t>karinabustos@cundinmarcagob.co</t>
  </si>
  <si>
    <t>calle 173 # 18-60</t>
  </si>
  <si>
    <r>
      <rPr>
        <rFont val="arial"/>
        <color rgb="FF1155CC"/>
        <u/>
      </rPr>
      <t>EDWIN ANTONIO VERGARA CASTILLO</t>
    </r>
  </si>
  <si>
    <r>
      <rPr>
        <rFont val="arial"/>
        <color rgb="FF1155CC"/>
        <u/>
      </rPr>
      <t>EDWIN ANTONIO VERGARA CASTILLO</t>
    </r>
  </si>
  <si>
    <t>8-707-103</t>
  </si>
  <si>
    <t>Isaac Serfaty</t>
  </si>
  <si>
    <r>
      <rPr>
        <rFont val="arial"/>
        <color rgb="FF1155CC"/>
        <u/>
      </rPr>
      <t>JOHAO IVANUR VEGA NUÑEZ</t>
    </r>
  </si>
  <si>
    <t>8-820-370</t>
  </si>
  <si>
    <t>Benjamin Alfredo Herrera Herrera</t>
  </si>
  <si>
    <r>
      <rPr>
        <rFont val="arial"/>
        <color rgb="FF1155CC"/>
        <u/>
      </rPr>
      <t>JOHAO IVANUR VEGA NUÑEZ</t>
    </r>
  </si>
  <si>
    <r>
      <rPr>
        <rFont val="arial"/>
        <color rgb="FF1155CC"/>
        <u/>
      </rPr>
      <t>JAIME FERNANDEZ POLICIA</t>
    </r>
  </si>
  <si>
    <t>8-964-11-55</t>
  </si>
  <si>
    <t>Victor Mafez</t>
  </si>
  <si>
    <r>
      <rPr>
        <rFont val="arial"/>
        <color rgb="FF1155CC"/>
        <u/>
      </rPr>
      <t>LEYKEL BAPTISTA</t>
    </r>
  </si>
  <si>
    <t>8-407-504</t>
  </si>
  <si>
    <t>Nicolas Antonio Gaudiano</t>
  </si>
  <si>
    <r>
      <rPr>
        <rFont val="arial"/>
        <color rgb="FF1155CC"/>
        <u/>
      </rPr>
      <t>LEYKEL BAPTISTA</t>
    </r>
  </si>
  <si>
    <t>Jaime Guerra</t>
  </si>
  <si>
    <r>
      <rPr>
        <rFont val="arial"/>
        <color rgb="FF1155CC"/>
        <u/>
      </rPr>
      <t>ALEC JIGGINS</t>
    </r>
  </si>
  <si>
    <r>
      <rPr>
        <rFont val="arial"/>
        <color rgb="FF1155CC"/>
        <u/>
      </rPr>
      <t>ALEC JIGGINS</t>
    </r>
  </si>
  <si>
    <t>1-30-0852</t>
  </si>
  <si>
    <t>Rogelio Navarro</t>
  </si>
  <si>
    <r>
      <rPr>
        <rFont val="arial"/>
        <color rgb="FF1155CC"/>
        <u/>
      </rPr>
      <t>Grimaldo Cordoba</t>
    </r>
  </si>
  <si>
    <t>Fabio Mariño</t>
  </si>
  <si>
    <r>
      <rPr>
        <rFont val="arial"/>
        <color rgb="FF1155CC"/>
        <u/>
      </rPr>
      <t>GUSTAVO OTALVARO</t>
    </r>
  </si>
  <si>
    <t>Juan Taylor</t>
  </si>
  <si>
    <r>
      <rPr>
        <rFont val="arial"/>
        <color rgb="FF1155CC"/>
        <u/>
      </rPr>
      <t>RAMON DE JANON</t>
    </r>
  </si>
  <si>
    <r>
      <rPr>
        <rFont val="arial"/>
        <color rgb="FF1155CC"/>
        <u/>
      </rPr>
      <t>FREDDY JOSE RODRIGUEZ</t>
    </r>
  </si>
  <si>
    <t>Oscar Romero Romero</t>
  </si>
  <si>
    <t>cra. 17 a # 137 - 43</t>
  </si>
  <si>
    <t>totalserice01@hotmail.com</t>
  </si>
  <si>
    <r>
      <rPr>
        <rFont val="arial"/>
        <color rgb="FF1155CC"/>
        <u/>
      </rPr>
      <t>PABLO ROUSSELIN</t>
    </r>
  </si>
  <si>
    <t>3-700-1510</t>
  </si>
  <si>
    <t>Arun Tolani</t>
  </si>
  <si>
    <r>
      <rPr>
        <rFont val="arial"/>
        <color rgb="FF1155CC"/>
        <u/>
      </rPr>
      <t>NICHOLAS KOROM</t>
    </r>
  </si>
  <si>
    <r>
      <rPr>
        <rFont val="arial"/>
        <color rgb="FF1155CC"/>
        <u/>
      </rPr>
      <t>JUAN SEBASTIAN LONDOÑO RIVERA</t>
    </r>
  </si>
  <si>
    <t>Henry Yesid Gonzalez Pineda</t>
  </si>
  <si>
    <r>
      <rPr>
        <rFont val="arial"/>
        <color rgb="FF1155CC"/>
        <u/>
      </rPr>
      <t>TEMPLE NAYLOR</t>
    </r>
  </si>
  <si>
    <t>8-390-345</t>
  </si>
  <si>
    <t>Javier Acuña Rivera</t>
  </si>
  <si>
    <r>
      <rPr>
        <rFont val="arial"/>
        <color rgb="FF1155CC"/>
        <u/>
      </rPr>
      <t>MAURICIO MARTINEZ</t>
    </r>
  </si>
  <si>
    <t>maartin roquer Gomez</t>
  </si>
  <si>
    <r>
      <rPr>
        <rFont val="arial"/>
        <color rgb="FF1155CC"/>
        <u/>
      </rPr>
      <t>MAURICIO CABRERA</t>
    </r>
  </si>
  <si>
    <t>mroquerg@gmail.com</t>
  </si>
  <si>
    <t>cl. 138 # 57 - 86</t>
  </si>
  <si>
    <r>
      <rPr>
        <rFont val="arial"/>
        <color rgb="FF1155CC"/>
        <u/>
      </rPr>
      <t>JULIO ZUÑIGA</t>
    </r>
  </si>
  <si>
    <t>Santiago Duque</t>
  </si>
  <si>
    <t>calle 105 a # 14 - 76</t>
  </si>
  <si>
    <r>
      <rPr>
        <rFont val="arial"/>
        <color rgb="FF1155CC"/>
        <u/>
      </rPr>
      <t>JUAN BOYD</t>
    </r>
  </si>
  <si>
    <r>
      <rPr>
        <rFont val="arial"/>
        <color rgb="FF1155CC"/>
        <u/>
      </rPr>
      <t>EMILIO TRUJILLO</t>
    </r>
  </si>
  <si>
    <t>Mauricio Leon Molano</t>
  </si>
  <si>
    <t>mmolanoleon@yahoo.com</t>
  </si>
  <si>
    <t>ave. 116 # 50a09 b 17</t>
  </si>
  <si>
    <r>
      <rPr>
        <rFont val="arial"/>
        <color rgb="FF1155CC"/>
        <u/>
      </rPr>
      <t>JUVENAL E TRUJILLO A</t>
    </r>
  </si>
  <si>
    <t>Gaspar Garcia De Paredes</t>
  </si>
  <si>
    <r>
      <rPr>
        <rFont val="arial"/>
        <color rgb="FF1155CC"/>
        <u/>
      </rPr>
      <t>Oscar Delgado</t>
    </r>
  </si>
  <si>
    <t>Jean Carlos Marquez Espitia</t>
  </si>
  <si>
    <t>0+573012827926 colombia</t>
  </si>
  <si>
    <t>espitiajean@gmail.com</t>
  </si>
  <si>
    <t>cr 7 # 27-18</t>
  </si>
  <si>
    <r>
      <rPr>
        <rFont val="arial"/>
        <color rgb="FF1155CC"/>
        <u/>
      </rPr>
      <t>Jose Guillermo Broce Pinilla</t>
    </r>
  </si>
  <si>
    <r>
      <rPr>
        <rFont val="arial"/>
        <color rgb="FF1155CC"/>
        <u/>
      </rPr>
      <t>Jose Guillermo Broce Pinilla</t>
    </r>
  </si>
  <si>
    <t>E-8-86527</t>
  </si>
  <si>
    <t>Budhrani Basant</t>
  </si>
  <si>
    <r>
      <rPr>
        <rFont val="arial"/>
        <color rgb="FF1155CC"/>
        <u/>
      </rPr>
      <t>Francisco Perea</t>
    </r>
  </si>
  <si>
    <r>
      <rPr>
        <rFont val="arial"/>
        <color rgb="FF1155CC"/>
        <u/>
      </rPr>
      <t>Gabriel Solis</t>
    </r>
  </si>
  <si>
    <t>Eugenio Cuello</t>
  </si>
  <si>
    <r>
      <rPr>
        <rFont val="arial"/>
        <color rgb="FF1155CC"/>
        <u/>
      </rPr>
      <t>Gabriel Solis</t>
    </r>
  </si>
  <si>
    <t>eugeniocuellog@gmail.com</t>
  </si>
  <si>
    <r>
      <rPr>
        <rFont val="arial"/>
        <color rgb="FF1155CC"/>
        <u/>
      </rPr>
      <t>Gabriel Solis</t>
    </r>
  </si>
  <si>
    <t>8-488-116</t>
  </si>
  <si>
    <t>Salvatore Bacile</t>
  </si>
  <si>
    <r>
      <rPr>
        <rFont val="arial"/>
        <color rgb="FF1155CC"/>
        <u/>
      </rPr>
      <t>JUAN FELIPE PENA RAMIREZ</t>
    </r>
  </si>
  <si>
    <t>Juan Felipe Torres</t>
  </si>
  <si>
    <r>
      <rPr>
        <rFont val="arial"/>
        <color rgb="FF1155CC"/>
        <u/>
      </rPr>
      <t>HELBERT PEREZ</t>
    </r>
  </si>
  <si>
    <t>cr 14 # 71 - 44</t>
  </si>
  <si>
    <t>Rafael Djamous</t>
  </si>
  <si>
    <r>
      <rPr>
        <rFont val="arial"/>
        <color rgb="FF1155CC"/>
        <u/>
      </rPr>
      <t>ALVARO CHING</t>
    </r>
  </si>
  <si>
    <r>
      <rPr>
        <rFont val="arial"/>
        <color rgb="FF1155CC"/>
        <u/>
      </rPr>
      <t>CARLOS ERNESTO MOLINA HONDAL</t>
    </r>
  </si>
  <si>
    <t>Miguel Avendaño</t>
  </si>
  <si>
    <r>
      <rPr>
        <rFont val="arial"/>
        <color rgb="FF1155CC"/>
        <u/>
      </rPr>
      <t>Hans Taft</t>
    </r>
  </si>
  <si>
    <t>cra 62 # 167 b - 93</t>
  </si>
  <si>
    <r>
      <rPr>
        <rFont val="arial"/>
        <color rgb="FF1155CC"/>
        <u/>
      </rPr>
      <t>Hans Taft</t>
    </r>
  </si>
  <si>
    <t>Daniel Djamous</t>
  </si>
  <si>
    <r>
      <rPr>
        <rFont val="arial"/>
        <color rgb="FF1155CC"/>
        <u/>
      </rPr>
      <t>Hans Taft</t>
    </r>
  </si>
  <si>
    <r>
      <rPr>
        <rFont val="arial"/>
        <color rgb="FF1155CC"/>
        <u/>
      </rPr>
      <t>Hans Taft</t>
    </r>
  </si>
  <si>
    <t>8-459-682</t>
  </si>
  <si>
    <t>Luis Alberto Matias Ramos</t>
  </si>
  <si>
    <r>
      <rPr>
        <rFont val="arial"/>
        <color rgb="FF1155CC"/>
        <u/>
      </rPr>
      <t>ABNER DUARTE</t>
    </r>
  </si>
  <si>
    <t>6670-553</t>
  </si>
  <si>
    <t>Ignacio Perez</t>
  </si>
  <si>
    <r>
      <rPr>
        <rFont val="arial"/>
        <color rgb="FF1155CC"/>
        <u/>
      </rPr>
      <t>ABNER DUARTE</t>
    </r>
  </si>
  <si>
    <r>
      <rPr>
        <rFont val="arial"/>
        <color rgb="FF1155CC"/>
        <u/>
      </rPr>
      <t>JUAN FERNANDO MORENO RESTREPO</t>
    </r>
  </si>
  <si>
    <t>8-905-1500</t>
  </si>
  <si>
    <t>Juan Diego Vasquez Gutierrez</t>
  </si>
  <si>
    <r>
      <rPr>
        <rFont val="arial"/>
        <color rgb="FF1155CC"/>
        <u/>
      </rPr>
      <t>CARLOS ERNESTO MOLINA HONDAL</t>
    </r>
  </si>
  <si>
    <t>Benedicto Acosta Castrejon</t>
  </si>
  <si>
    <r>
      <rPr>
        <rFont val="arial"/>
        <color rgb="FF1155CC"/>
        <u/>
      </rPr>
      <t>ABEL LUIS CORNEJO</t>
    </r>
  </si>
  <si>
    <r>
      <rPr>
        <rFont val="arial"/>
        <color rgb="FF1155CC"/>
        <u/>
      </rPr>
      <t>FREDDY JOSE RODRIGUEZ</t>
    </r>
  </si>
  <si>
    <t>8-379-881</t>
  </si>
  <si>
    <t>Ronald Jaen</t>
  </si>
  <si>
    <r>
      <rPr>
        <rFont val="arial"/>
        <color rgb="FF1155CC"/>
        <u/>
      </rPr>
      <t>PABLO ROUSSELIN</t>
    </r>
  </si>
  <si>
    <t>Francisco Alexander Sandoval Vasquez</t>
  </si>
  <si>
    <r>
      <rPr>
        <rFont val="arial"/>
        <color rgb="FF1155CC"/>
        <u/>
      </rPr>
      <t>PABLO ROUSSELIN</t>
    </r>
  </si>
  <si>
    <r>
      <rPr>
        <rFont val="arial"/>
        <color rgb="FF1155CC"/>
        <u/>
      </rPr>
      <t>PABLO ROUSSELIN</t>
    </r>
  </si>
  <si>
    <t>Raul Abadia</t>
  </si>
  <si>
    <r>
      <rPr>
        <rFont val="arial"/>
        <color rgb="FF1155CC"/>
        <u/>
      </rPr>
      <t>Leo Ovadia</t>
    </r>
  </si>
  <si>
    <r>
      <rPr>
        <rFont val="arial"/>
        <color rgb="FF1155CC"/>
        <u/>
      </rPr>
      <t>ALVARO ROSAS JARA</t>
    </r>
  </si>
  <si>
    <t>4-103-1736</t>
  </si>
  <si>
    <t>Jose Luis Andrade Alegre</t>
  </si>
  <si>
    <r>
      <rPr>
        <rFont val="arial"/>
        <color rgb="FF1155CC"/>
        <u/>
      </rPr>
      <t>RICARDO SIERRA</t>
    </r>
  </si>
  <si>
    <t>Luis Francisco Sandoval Estupiñan</t>
  </si>
  <si>
    <t>Carrera 68bis 42 D 56</t>
  </si>
  <si>
    <r>
      <rPr>
        <rFont val="arial"/>
        <color rgb="FF1155CC"/>
        <u/>
      </rPr>
      <t>FABIO GIL</t>
    </r>
  </si>
  <si>
    <t>8-776-74</t>
  </si>
  <si>
    <t>Saulo Martinez</t>
  </si>
  <si>
    <r>
      <rPr>
        <rFont val="arial"/>
        <color rgb="FF1155CC"/>
        <u/>
      </rPr>
      <t>YEHUDA PLOTKZKER</t>
    </r>
  </si>
  <si>
    <t>7-715-903</t>
  </si>
  <si>
    <t>Wilder Fabian Casas</t>
  </si>
  <si>
    <r>
      <rPr>
        <rFont val="arial"/>
        <color rgb="FF1155CC"/>
        <u/>
      </rPr>
      <t>MAURICIO ZAMORA</t>
    </r>
  </si>
  <si>
    <t>8-782-1523</t>
  </si>
  <si>
    <t>Ivan Agustin Arauz Ramos</t>
  </si>
  <si>
    <r>
      <rPr>
        <rFont val="arial"/>
        <color rgb="FF1155CC"/>
        <u/>
      </rPr>
      <t>MAURICIO ZAMORA</t>
    </r>
  </si>
  <si>
    <t>Calle 42 Bella vista</t>
  </si>
  <si>
    <r>
      <rPr>
        <rFont val="arial"/>
        <color rgb="FF1155CC"/>
        <u/>
      </rPr>
      <t>YOSEF SUCHAR</t>
    </r>
  </si>
  <si>
    <t>8-742-223</t>
  </si>
  <si>
    <t>Max Alberto Ballesteros</t>
  </si>
  <si>
    <t>Born Bosco</t>
  </si>
  <si>
    <r>
      <rPr>
        <rFont val="arial"/>
        <color rgb="FF1155CC"/>
        <u/>
      </rPr>
      <t>CARLOS ERNESTO MOLINA HONDAL</t>
    </r>
  </si>
  <si>
    <r>
      <rPr>
        <rFont val="arial"/>
        <color rgb="FF1155CC"/>
        <u/>
      </rPr>
      <t>Roberto Anibal Benavidez Castillo</t>
    </r>
  </si>
  <si>
    <t>3-737-1279</t>
  </si>
  <si>
    <t>Miguel Angel Soto</t>
  </si>
  <si>
    <t>COLÓN ALBADEA 317</t>
  </si>
  <si>
    <r>
      <rPr>
        <rFont val="arial"/>
        <color rgb="FF1155CC"/>
        <u/>
      </rPr>
      <t>Roberto Anibal Benavidez Castillo</t>
    </r>
  </si>
  <si>
    <t>3-84-741</t>
  </si>
  <si>
    <t>Gilberto Soto Renteria</t>
  </si>
  <si>
    <r>
      <rPr>
        <rFont val="arial"/>
        <color rgb="FF1155CC"/>
        <u/>
      </rPr>
      <t>FELIX HIJO FALLABELLA</t>
    </r>
  </si>
  <si>
    <t>Albaden 317</t>
  </si>
  <si>
    <r>
      <rPr>
        <rFont val="arial"/>
        <color rgb="FF1155CC"/>
        <u/>
      </rPr>
      <t>FELIX HIJO FALLABELLA</t>
    </r>
  </si>
  <si>
    <t>Joaquin Cano Suarez</t>
  </si>
  <si>
    <t>Carrera 45 A # 94-06 DIMAYOR</t>
  </si>
  <si>
    <r>
      <rPr>
        <rFont val="arial"/>
        <color rgb="FF1155CC"/>
        <u/>
      </rPr>
      <t>Alexander De Gracia</t>
    </r>
  </si>
  <si>
    <r>
      <rPr>
        <rFont val="arial"/>
        <color rgb="FF1155CC"/>
        <u/>
      </rPr>
      <t>Gabriel Castellanos .</t>
    </r>
  </si>
  <si>
    <t>Juan Pablo Schwitzer</t>
  </si>
  <si>
    <r>
      <rPr>
        <rFont val="arial"/>
        <color rgb="FF1155CC"/>
        <u/>
      </rPr>
      <t>Gabriel Castellanos .</t>
    </r>
  </si>
  <si>
    <r>
      <rPr>
        <rFont val="arial"/>
        <color rgb="FF1155CC"/>
        <u/>
      </rPr>
      <t>Gabriel Castellanos .</t>
    </r>
  </si>
  <si>
    <r>
      <rPr>
        <rFont val="arial"/>
        <color rgb="FF1155CC"/>
        <u/>
      </rPr>
      <t>Gabriel Castellanos .</t>
    </r>
  </si>
  <si>
    <t>Deivid Mejia Vega</t>
  </si>
  <si>
    <r>
      <rPr>
        <rFont val="arial"/>
        <color rgb="FF1155CC"/>
        <u/>
      </rPr>
      <t>Gabriel Castellanos .</t>
    </r>
  </si>
  <si>
    <r>
      <rPr>
        <rFont val="arial"/>
        <color rgb="FF1155CC"/>
        <u/>
      </rPr>
      <t>Diego Luis Cardona Lombana</t>
    </r>
  </si>
  <si>
    <r>
      <rPr>
        <rFont val="arial"/>
        <color rgb="FF1155CC"/>
        <u/>
      </rPr>
      <t>Diego Luis Cardona Lombana</t>
    </r>
  </si>
  <si>
    <t>Duvan Cuevas Poveda</t>
  </si>
  <si>
    <r>
      <rPr>
        <rFont val="arial"/>
        <color rgb="FF1155CC"/>
        <u/>
      </rPr>
      <t>OSCAR FABIN LARA HERNANDEZ</t>
    </r>
  </si>
  <si>
    <t>Ervin Alvarez</t>
  </si>
  <si>
    <r>
      <rPr>
        <rFont val="arial"/>
        <color rgb="FF1155CC"/>
        <u/>
      </rPr>
      <t>NICOLAS FABIAN LARA CALDERON</t>
    </r>
  </si>
  <si>
    <t>Carrera 85B #55 A-13 DIMAYOR</t>
  </si>
  <si>
    <t>Juan Manuel Moreno Escobar</t>
  </si>
  <si>
    <r>
      <rPr>
        <rFont val="arial"/>
        <color rgb="FF1155CC"/>
        <u/>
      </rPr>
      <t>JORGE RICARDO BRATHWAITE WILLIAMS</t>
    </r>
  </si>
  <si>
    <t>Hans Emerson Ramirez Martinez</t>
  </si>
  <si>
    <t>DIMAYOR</t>
  </si>
  <si>
    <r>
      <rPr>
        <rFont val="arial"/>
        <color rgb="FF1155CC"/>
        <u/>
      </rPr>
      <t>Grimaldo Cordoba</t>
    </r>
  </si>
  <si>
    <r>
      <rPr>
        <rFont val="arial"/>
        <color rgb="FF1155CC"/>
        <u/>
      </rPr>
      <t>Mario Castro</t>
    </r>
  </si>
  <si>
    <t>79.951.694</t>
  </si>
  <si>
    <t>Luis Francisco Muñoz</t>
  </si>
  <si>
    <r>
      <rPr>
        <rFont val="arial"/>
        <color rgb="FF1155CC"/>
        <u/>
      </rPr>
      <t>Ricardo Díaz</t>
    </r>
  </si>
  <si>
    <t>7-708-752</t>
  </si>
  <si>
    <t>Jesus Bravo</t>
  </si>
  <si>
    <r>
      <rPr>
        <rFont val="arial"/>
        <color rgb="FF1155CC"/>
        <u/>
      </rPr>
      <t>Ricardo Díaz</t>
    </r>
  </si>
  <si>
    <r>
      <rPr>
        <rFont val="arial"/>
        <color rgb="FF1155CC"/>
        <u/>
      </rPr>
      <t>Ricardo Díaz</t>
    </r>
  </si>
  <si>
    <t>Juan Manuel Martinez</t>
  </si>
  <si>
    <r>
      <rPr>
        <rFont val="arial"/>
        <color rgb="FF1155CC"/>
        <u/>
      </rPr>
      <t>Ricardo Díaz</t>
    </r>
  </si>
  <si>
    <r>
      <rPr>
        <rFont val="arial"/>
        <color rgb="FF1155CC"/>
        <u/>
      </rPr>
      <t>Ricardo Díaz</t>
    </r>
  </si>
  <si>
    <r>
      <rPr>
        <rFont val="arial"/>
        <color rgb="FF1155CC"/>
        <u/>
      </rPr>
      <t>JOHN HENRY OSORIO BARBOSA</t>
    </r>
  </si>
  <si>
    <t>Victor Azrak</t>
  </si>
  <si>
    <r>
      <rPr>
        <rFont val="arial"/>
        <color rgb="FF1155CC"/>
        <u/>
      </rPr>
      <t>ALIETHS ARROYO</t>
    </r>
  </si>
  <si>
    <t>Andres Felipe Cadena Casas</t>
  </si>
  <si>
    <t>Calle 72 # 6-30</t>
  </si>
  <si>
    <r>
      <rPr>
        <rFont val="arial"/>
        <color rgb="FF1155CC"/>
        <u/>
      </rPr>
      <t>JOHN HENRY OSORIO BARBOSA</t>
    </r>
  </si>
  <si>
    <r>
      <rPr>
        <rFont val="arial"/>
        <color rgb="FF1155CC"/>
        <u/>
      </rPr>
      <t>Alexander De Gracia</t>
    </r>
  </si>
  <si>
    <t>Santiago Narvaez</t>
  </si>
  <si>
    <r>
      <rPr>
        <rFont val="arial"/>
        <color rgb="FF1155CC"/>
        <u/>
      </rPr>
      <t>SAJID DAYAN Bhiku</t>
    </r>
  </si>
  <si>
    <t>Oscar Enrique Naranjo De Giudice</t>
  </si>
  <si>
    <r>
      <rPr>
        <rFont val="arial"/>
        <color rgb="FF1155CC"/>
        <u/>
      </rPr>
      <t>LEO ARJONA</t>
    </r>
  </si>
  <si>
    <t>Carrera 3 #93-84</t>
  </si>
  <si>
    <t>David Guituerrez Garay</t>
  </si>
  <si>
    <r>
      <rPr>
        <rFont val="arial"/>
        <color rgb="FF1155CC"/>
        <u/>
      </rPr>
      <t>ADOLFO VILLA</t>
    </r>
  </si>
  <si>
    <r>
      <rPr>
        <rFont val="arial"/>
        <color rgb="FF1155CC"/>
        <u/>
      </rPr>
      <t>JAMES APARICIO</t>
    </r>
  </si>
  <si>
    <t>Harry Joanns Salamanca Mora</t>
  </si>
  <si>
    <t>Carrera 12B 14 A 46</t>
  </si>
  <si>
    <r>
      <rPr>
        <rFont val="arial"/>
        <color rgb="FF1155CC"/>
        <u/>
      </rPr>
      <t>ELIASID ELISEA TORRES CHAPARRO</t>
    </r>
  </si>
  <si>
    <t>Santiago Mesa Rojas</t>
  </si>
  <si>
    <t>Calle 40 sur # 72 I-33</t>
  </si>
  <si>
    <r>
      <rPr>
        <rFont val="arial"/>
        <color rgb="FF1155CC"/>
        <u/>
      </rPr>
      <t>Isaac Hafez Azrak</t>
    </r>
  </si>
  <si>
    <t>Dally Silva Gonzales</t>
  </si>
  <si>
    <t>Calle 35 sur 72 b 67</t>
  </si>
  <si>
    <r>
      <rPr>
        <rFont val="arial"/>
        <color rgb="FF1155CC"/>
        <u/>
      </rPr>
      <t>GIANLUCA BERTI</t>
    </r>
  </si>
  <si>
    <t>Anderson Silva Gonzales</t>
  </si>
  <si>
    <t>Carrera 95b # 73-80 sur</t>
  </si>
  <si>
    <r>
      <rPr>
        <rFont val="arial"/>
        <color rgb="FF1155CC"/>
        <u/>
      </rPr>
      <t>JULIO ENRIQUE MOLTO HIJO</t>
    </r>
  </si>
  <si>
    <r>
      <rPr>
        <rFont val="arial"/>
        <color rgb="FF1155CC"/>
        <u/>
      </rPr>
      <t>Fernando Correa Diaz</t>
    </r>
  </si>
  <si>
    <t>Jonathan Ramirez</t>
  </si>
  <si>
    <r>
      <rPr>
        <rFont val="arial"/>
        <color rgb="FF1155CC"/>
        <u/>
      </rPr>
      <t>Fernando Correa Diaz</t>
    </r>
  </si>
  <si>
    <t>Samuel Fernando Osorio Caceres</t>
  </si>
  <si>
    <t>Calle 71c # 94A-72 Interior 1 Apto 501</t>
  </si>
  <si>
    <r>
      <rPr>
        <rFont val="arial"/>
        <color rgb="FF1155CC"/>
        <u/>
      </rPr>
      <t>Felipe Batista Acosta</t>
    </r>
  </si>
  <si>
    <t>Sebastian Acevedo</t>
  </si>
  <si>
    <r>
      <rPr>
        <rFont val="arial"/>
        <color rgb="FF1155CC"/>
        <u/>
      </rPr>
      <t>JUAN BORRELL</t>
    </r>
  </si>
  <si>
    <t>Carrera 19 # 19A-56</t>
  </si>
  <si>
    <r>
      <rPr>
        <rFont val="arial"/>
        <color rgb="FF1155CC"/>
        <u/>
      </rPr>
      <t>OSCAR TORRES PINZON</t>
    </r>
  </si>
  <si>
    <t>Andres Felipe Parrado Patiño</t>
  </si>
  <si>
    <t>Calle 185 #49-60</t>
  </si>
  <si>
    <r>
      <rPr>
        <rFont val="arial"/>
        <color rgb="FF1155CC"/>
        <u/>
      </rPr>
      <t>RAUL FRANSCESHI</t>
    </r>
  </si>
  <si>
    <t>Andres Felipe Hernández</t>
  </si>
  <si>
    <t>Carrera 14b # 110-41</t>
  </si>
  <si>
    <r>
      <rPr>
        <rFont val="arial"/>
        <color rgb="FF1155CC"/>
        <u/>
      </rPr>
      <t>YOSEF SUCHAR</t>
    </r>
  </si>
  <si>
    <r>
      <rPr>
        <rFont val="arial"/>
        <color rgb="FF1155CC"/>
        <u/>
      </rPr>
      <t>Isaac Hafez Azrak</t>
    </r>
  </si>
  <si>
    <t>Sergio Felipe Parra Rubiano</t>
  </si>
  <si>
    <t>Carrera 7 # 71-21</t>
  </si>
  <si>
    <r>
      <rPr>
        <rFont val="arial"/>
        <color rgb="FF1155CC"/>
        <u/>
      </rPr>
      <t>Isaac Hafez Azrak</t>
    </r>
  </si>
  <si>
    <r>
      <rPr>
        <rFont val="arial"/>
        <color rgb="FF1155CC"/>
        <u/>
      </rPr>
      <t>LUIS FELIPE OCHOA</t>
    </r>
  </si>
  <si>
    <t>Hugo Gualteros León</t>
  </si>
  <si>
    <r>
      <rPr>
        <rFont val="arial"/>
        <color rgb="FF1155CC"/>
        <u/>
      </rPr>
      <t>LUIS FELIPE OCHOA</t>
    </r>
  </si>
  <si>
    <r>
      <rPr>
        <rFont val="arial"/>
        <color rgb="FF1155CC"/>
        <u/>
      </rPr>
      <t>LUIS FELIPE OCHOA</t>
    </r>
  </si>
  <si>
    <t>Luis Eugenio Vasquez Brown</t>
  </si>
  <si>
    <r>
      <rPr>
        <rFont val="arial"/>
        <color rgb="FF1155CC"/>
        <u/>
      </rPr>
      <t>LUIS FELIPE OCHOA</t>
    </r>
  </si>
  <si>
    <r>
      <rPr>
        <rFont val="arial"/>
        <color rgb="FF1155CC"/>
        <u/>
      </rPr>
      <t>MEIR OVADIA LEUY</t>
    </r>
  </si>
  <si>
    <t>Pablo Andrés Jimenez Ocampo</t>
  </si>
  <si>
    <r>
      <rPr>
        <rFont val="arial"/>
        <color rgb="FF1155CC"/>
        <u/>
      </rPr>
      <t>ALVARO ROSAS JARA</t>
    </r>
  </si>
  <si>
    <t>Jhon Alexander Florez Sánchez</t>
  </si>
  <si>
    <r>
      <rPr>
        <rFont val="arial"/>
        <color rgb="FF1155CC"/>
        <u/>
      </rPr>
      <t>Pedro Junior Cruz Gomez</t>
    </r>
  </si>
  <si>
    <t>Calle 19 sur #10-23 Apto 404</t>
  </si>
  <si>
    <r>
      <rPr>
        <rFont val="arial"/>
        <color rgb="FF1155CC"/>
        <u/>
      </rPr>
      <t>Pedro Junior Cruz Gomez</t>
    </r>
  </si>
  <si>
    <t>Cesar Parra León</t>
  </si>
  <si>
    <t>Av. Carrera 72 24b-34</t>
  </si>
  <si>
    <r>
      <rPr>
        <rFont val="arial"/>
        <color rgb="FF1155CC"/>
        <u/>
      </rPr>
      <t>OSCAR TORRES PINZON</t>
    </r>
  </si>
  <si>
    <r>
      <rPr>
        <rFont val="arial"/>
        <color rgb="FF1155CC"/>
        <u/>
      </rPr>
      <t>GUSTAVO OTALVARO</t>
    </r>
  </si>
  <si>
    <t>Luis Enrique Ariza</t>
  </si>
  <si>
    <r>
      <rPr>
        <rFont val="arial"/>
        <color rgb="FF1155CC"/>
        <u/>
      </rPr>
      <t>RODOLFO FERREIRA</t>
    </r>
  </si>
  <si>
    <t>Andrés Leon Albarracín</t>
  </si>
  <si>
    <t>Carrera 10 # 54-29</t>
  </si>
  <si>
    <r>
      <rPr>
        <rFont val="arial"/>
        <color rgb="FF1155CC"/>
        <u/>
      </rPr>
      <t>JOHN BARRETT</t>
    </r>
  </si>
  <si>
    <t>Carlos Andrés Lopez Perez</t>
  </si>
  <si>
    <r>
      <rPr>
        <rFont val="arial"/>
        <color rgb="FF1155CC"/>
        <u/>
      </rPr>
      <t>EMILIO HERNANDEZ</t>
    </r>
  </si>
  <si>
    <t>Av Toluca 8-11</t>
  </si>
  <si>
    <r>
      <rPr>
        <rFont val="arial"/>
        <color rgb="FF1155CC"/>
        <u/>
      </rPr>
      <t>DIEGO VALERO MATEUS</t>
    </r>
  </si>
  <si>
    <t>Manuel Fernando Rodríguez Soto</t>
  </si>
  <si>
    <t>Calle 69 #4-48</t>
  </si>
  <si>
    <r>
      <rPr>
        <rFont val="arial"/>
        <color rgb="FF1155CC"/>
        <u/>
      </rPr>
      <t>Luis Eugenio Vasquez Brown</t>
    </r>
  </si>
  <si>
    <t>Ricardo Hernandez Guzman</t>
  </si>
  <si>
    <t>Calle 2 #5-99</t>
  </si>
  <si>
    <r>
      <rPr>
        <rFont val="arial"/>
        <color rgb="FF1155CC"/>
        <u/>
      </rPr>
      <t>ANDRE MENDOZA PINZON</t>
    </r>
  </si>
  <si>
    <r>
      <rPr>
        <rFont val="arial"/>
        <color rgb="FF1155CC"/>
        <u/>
      </rPr>
      <t>ANDRE MENDOZA PINZON</t>
    </r>
  </si>
  <si>
    <t>Oscar David Iguavita Roa</t>
  </si>
  <si>
    <r>
      <rPr>
        <rFont val="arial"/>
        <color rgb="FF1155CC"/>
        <u/>
      </rPr>
      <t>ALLAN SCHACHETEL</t>
    </r>
  </si>
  <si>
    <t>david.iguavita@outlook.com</t>
  </si>
  <si>
    <t>Carrera 96B # 16-20</t>
  </si>
  <si>
    <t>Edinson Jesus Steffens Arteta</t>
  </si>
  <si>
    <r>
      <rPr>
        <rFont val="arial"/>
        <color rgb="FF1155CC"/>
        <u/>
      </rPr>
      <t>JOEL BETTSACK</t>
    </r>
  </si>
  <si>
    <t>Carrera 123 # 131-80</t>
  </si>
  <si>
    <r>
      <rPr>
        <rFont val="arial"/>
        <color rgb="FF1155CC"/>
        <u/>
      </rPr>
      <t>Leo Ovadia</t>
    </r>
  </si>
  <si>
    <t>Manuel Andrés Rodríguez</t>
  </si>
  <si>
    <t>Calle 95 # 71-75 Torre 3 Apto 1101</t>
  </si>
  <si>
    <r>
      <rPr>
        <rFont val="arial"/>
        <color rgb="FF1155CC"/>
        <u/>
      </rPr>
      <t>Leo Ovadia</t>
    </r>
  </si>
  <si>
    <r>
      <rPr>
        <rFont val="arial"/>
        <color rgb="FF1155CC"/>
        <u/>
      </rPr>
      <t>PAUL ALBA</t>
    </r>
  </si>
  <si>
    <t>David Leonardo Rojas Silva</t>
  </si>
  <si>
    <t>Tv 63A # 88-31</t>
  </si>
  <si>
    <r>
      <rPr>
        <rFont val="arial"/>
        <color rgb="FF1155CC"/>
        <u/>
      </rPr>
      <t>ELIASID ELISEA TORRES CHAPARRO</t>
    </r>
  </si>
  <si>
    <r>
      <rPr>
        <rFont val="arial"/>
        <color rgb="FF1155CC"/>
        <u/>
      </rPr>
      <t>IAN NASM</t>
    </r>
  </si>
  <si>
    <t>Charles Ospina Ortiz</t>
  </si>
  <si>
    <t>Calle 31A # 16A-35</t>
  </si>
  <si>
    <r>
      <rPr>
        <rFont val="arial"/>
        <color rgb="FF1155CC"/>
        <u/>
      </rPr>
      <t>Edgar Javier Huertas Vasquez</t>
    </r>
  </si>
  <si>
    <t>German Alberto Diaz Acosta</t>
  </si>
  <si>
    <t>germanacostadiaz@gmail.com</t>
  </si>
  <si>
    <t>Carrera 111c # 88-15</t>
  </si>
  <si>
    <r>
      <rPr>
        <rFont val="arial"/>
        <color rgb="FF1155CC"/>
        <u/>
      </rPr>
      <t>NORMAN VELASQUEZ</t>
    </r>
  </si>
  <si>
    <t>Javier Rojas</t>
  </si>
  <si>
    <t>Calle 152 B #58</t>
  </si>
  <si>
    <r>
      <rPr>
        <rFont val="arial"/>
        <color rgb="FF1155CC"/>
        <u/>
      </rPr>
      <t>OVIDIO MURILLO</t>
    </r>
  </si>
  <si>
    <t>Daniel Castaño Ceballos</t>
  </si>
  <si>
    <t>davidcastano11@gmail.com</t>
  </si>
  <si>
    <t>Calle 24B # 71 A-53</t>
  </si>
  <si>
    <r>
      <rPr>
        <rFont val="arial"/>
        <color rgb="FF1155CC"/>
        <u/>
      </rPr>
      <t>DANIEL VILLAR TRUJILLO</t>
    </r>
  </si>
  <si>
    <r>
      <rPr>
        <rFont val="arial"/>
        <color rgb="FF1155CC"/>
        <u/>
      </rPr>
      <t>FELIPE ALVAREZ TRUJILLO</t>
    </r>
  </si>
  <si>
    <t>Oscar Antonio Moreno Viveros</t>
  </si>
  <si>
    <t>ologa1216@hotmail.com</t>
  </si>
  <si>
    <r>
      <rPr>
        <rFont val="arial"/>
        <color rgb="FF1155CC"/>
        <u/>
      </rPr>
      <t>JOHN FAJARDO MOLINA</t>
    </r>
  </si>
  <si>
    <t>Julian Ernesto Almario Peña</t>
  </si>
  <si>
    <t>Carrera 20 # 33-15</t>
  </si>
  <si>
    <r>
      <rPr>
        <rFont val="arial"/>
        <color rgb="FF1155CC"/>
        <u/>
      </rPr>
      <t>JAIME QUIROGA</t>
    </r>
  </si>
  <si>
    <t>Yesid Ortiz Ramos</t>
  </si>
  <si>
    <t>abg.yesidortiz@gmail.com</t>
  </si>
  <si>
    <t>Av. Boyacá # 67-75</t>
  </si>
  <si>
    <r>
      <rPr>
        <rFont val="arial"/>
        <color rgb="FF1155CC"/>
        <u/>
      </rPr>
      <t>ERNESTO PEREZ LUIS</t>
    </r>
  </si>
  <si>
    <t>Luis Miguel Murcia Ahumada</t>
  </si>
  <si>
    <t>djluismmurciaa@gmail.com</t>
  </si>
  <si>
    <t>Carrera 1 # 2-21 Casa 4</t>
  </si>
  <si>
    <r>
      <rPr>
        <rFont val="arial"/>
        <color rgb="FF1155CC"/>
        <u/>
      </rPr>
      <t>ADOLFO PRESCOTT</t>
    </r>
  </si>
  <si>
    <t>Jhon Alejandro Zamora Suárez</t>
  </si>
  <si>
    <r>
      <rPr>
        <rFont val="arial"/>
        <color rgb="FF1155CC"/>
        <u/>
      </rPr>
      <t>ADOLFO PRESCOTT</t>
    </r>
  </si>
  <si>
    <r>
      <rPr>
        <rFont val="arial"/>
        <color rgb="FF1155CC"/>
        <u/>
      </rPr>
      <t>AGUSTIN MORENO</t>
    </r>
  </si>
  <si>
    <t>Milton Rodríguez Comas</t>
  </si>
  <si>
    <t>miltonrodruiguez98@hotmail.com</t>
  </si>
  <si>
    <t>Calle 72 # 8-24</t>
  </si>
  <si>
    <r>
      <rPr>
        <rFont val="arial"/>
        <color rgb="FF1155CC"/>
        <u/>
      </rPr>
      <t>RICARDO LOPEZ</t>
    </r>
  </si>
  <si>
    <t>3-718-465</t>
  </si>
  <si>
    <t>MICHAEL SOTO</t>
  </si>
  <si>
    <r>
      <rPr>
        <rFont val="arial"/>
        <color rgb="FF1155CC"/>
        <u/>
      </rPr>
      <t>LUIS ESPARZA</t>
    </r>
  </si>
  <si>
    <r>
      <rPr>
        <rFont val="arial"/>
        <color rgb="FF1155CC"/>
        <u/>
      </rPr>
      <t>MICHAEL SOTO</t>
    </r>
  </si>
  <si>
    <t>8-823-869</t>
  </si>
  <si>
    <t>DANIEL PARDINI</t>
  </si>
  <si>
    <r>
      <rPr>
        <rFont val="arial"/>
        <color rgb="FF1155CC"/>
        <u/>
      </rPr>
      <t>MICHAEL SOTO</t>
    </r>
  </si>
  <si>
    <t>JUAN CARLOS ALVARO DELGADO PAPA</t>
  </si>
  <si>
    <r>
      <rPr>
        <rFont val="arial"/>
        <color rgb="FF1155CC"/>
        <u/>
      </rPr>
      <t>Luis Eugenio Vasquez Brown</t>
    </r>
  </si>
  <si>
    <r>
      <rPr>
        <rFont val="arial"/>
        <color rgb="FF1155CC"/>
        <u/>
      </rPr>
      <t>Jose Raul Mulino Cohen</t>
    </r>
  </si>
  <si>
    <t>JUAN CARLOS ALVARO HIJO</t>
  </si>
  <si>
    <r>
      <rPr>
        <rFont val="arial"/>
        <color rgb="FF1155CC"/>
        <u/>
      </rPr>
      <t>Jose Raul Mulino Cohen</t>
    </r>
  </si>
  <si>
    <t>MARIO JAVIER JACAS GARCIA</t>
  </si>
  <si>
    <r>
      <rPr>
        <rFont val="arial"/>
        <color rgb="FF1155CC"/>
        <u/>
      </rPr>
      <t>Jose Raul Mulino Cohen</t>
    </r>
  </si>
  <si>
    <r>
      <rPr>
        <rFont val="arial"/>
        <color rgb="FF1155CC"/>
        <u/>
      </rPr>
      <t>JESUS VELEIRO CARBALLEDA</t>
    </r>
  </si>
  <si>
    <t>561-3178996</t>
  </si>
  <si>
    <t>DAVIDE TOMASSOM</t>
  </si>
  <si>
    <r>
      <rPr>
        <rFont val="arial"/>
        <color rgb="FF1155CC"/>
        <u/>
      </rPr>
      <t>BRADLEY QUINN DE LA GUARDIA (HIJO JESUS VALEIRO)</t>
    </r>
  </si>
  <si>
    <t>8-344-996</t>
  </si>
  <si>
    <t>DINO MON</t>
  </si>
  <si>
    <r>
      <rPr>
        <rFont val="arial"/>
        <color rgb="FF1155CC"/>
        <u/>
      </rPr>
      <t>DAVID CORRO</t>
    </r>
  </si>
  <si>
    <t>JOHN HENRY</t>
  </si>
  <si>
    <r>
      <rPr>
        <rFont val="arial"/>
        <color rgb="FF1155CC"/>
        <u/>
      </rPr>
      <t>ELISEO TORRES BARRAGAN</t>
    </r>
  </si>
  <si>
    <t>JORGE A NUÑEZ F</t>
  </si>
  <si>
    <r>
      <rPr>
        <rFont val="arial"/>
        <color rgb="FF1155CC"/>
        <u/>
      </rPr>
      <t>GUMERSINDO GARCIA</t>
    </r>
  </si>
  <si>
    <r>
      <rPr>
        <rFont val="arial"/>
        <color rgb="FF1155CC"/>
        <u/>
      </rPr>
      <t>KEVIN MARINO CABRERA</t>
    </r>
  </si>
  <si>
    <t>8-802-2291</t>
  </si>
  <si>
    <t>PAUL NAHEN</t>
  </si>
  <si>
    <r>
      <rPr>
        <rFont val="arial"/>
        <color rgb="FF1155CC"/>
        <u/>
      </rPr>
      <t>GUSTAVO OTALVARO</t>
    </r>
  </si>
  <si>
    <t>8-979-1794</t>
  </si>
  <si>
    <t>JULIO ENRIQUE MOLTO HIJO</t>
  </si>
  <si>
    <r>
      <rPr>
        <rFont val="arial"/>
        <color rgb="FF1155CC"/>
        <u/>
      </rPr>
      <t>Alexander De Gracia</t>
    </r>
  </si>
  <si>
    <r>
      <rPr>
        <rFont val="arial"/>
        <color rgb="FF1155CC"/>
        <u/>
      </rPr>
      <t>Augusto Salguera</t>
    </r>
  </si>
  <si>
    <t>8-805-1481</t>
  </si>
  <si>
    <t>CARLOS MORENO VEGA</t>
  </si>
  <si>
    <r>
      <rPr>
        <rFont val="arial"/>
        <color rgb="FF1155CC"/>
        <u/>
      </rPr>
      <t>Augusto Salguera</t>
    </r>
  </si>
  <si>
    <r>
      <rPr>
        <rFont val="arial"/>
        <color rgb="FF1155CC"/>
        <u/>
      </rPr>
      <t>Augusto Salguera</t>
    </r>
  </si>
  <si>
    <t>6702-2499</t>
  </si>
  <si>
    <t>Aaron Figueroa</t>
  </si>
  <si>
    <r>
      <rPr>
        <rFont val="arial"/>
        <color rgb="FF1155CC"/>
        <u/>
      </rPr>
      <t>Augusto Salguera</t>
    </r>
  </si>
  <si>
    <r>
      <rPr>
        <rFont val="arial"/>
        <color rgb="FF1155CC"/>
        <u/>
      </rPr>
      <t>FELIX RAFAEL FALLABELLA</t>
    </r>
  </si>
  <si>
    <r>
      <rPr>
        <rFont val="arial"/>
        <color rgb="FF1155CC"/>
        <u/>
      </rPr>
      <t>FELIX RAFAEL FALLABELLA</t>
    </r>
  </si>
  <si>
    <t>8-895-1184</t>
  </si>
  <si>
    <t>Edgar Javier Huertas Vasquez</t>
  </si>
  <si>
    <r>
      <rPr>
        <rFont val="arial"/>
        <color rgb="FF1155CC"/>
        <u/>
      </rPr>
      <t>FELIX RAFAEL FALLABELLA</t>
    </r>
  </si>
  <si>
    <r>
      <rPr>
        <rFont val="arial"/>
        <color rgb="FF1155CC"/>
        <u/>
      </rPr>
      <t>JULIO ENRIQUE MOLTO HIJO</t>
    </r>
  </si>
  <si>
    <t>8-823-1556</t>
  </si>
  <si>
    <t>Jose Raul Mulino Cohen</t>
  </si>
  <si>
    <r>
      <rPr>
        <rFont val="arial"/>
        <color rgb="FF1155CC"/>
        <u/>
      </rPr>
      <t>JAVIER GONZALES</t>
    </r>
  </si>
  <si>
    <t>8-9918460</t>
  </si>
  <si>
    <t>Gabriel De Janon</t>
  </si>
  <si>
    <r>
      <rPr>
        <rFont val="arial"/>
        <color rgb="FF1155CC"/>
        <u/>
      </rPr>
      <t>JAVIER GONZALES</t>
    </r>
  </si>
  <si>
    <r>
      <rPr>
        <rFont val="arial"/>
        <color rgb="FF1155CC"/>
        <u/>
      </rPr>
      <t>ELISEO TORRES BARRAGAN</t>
    </r>
  </si>
  <si>
    <t>Celso Jose Cordoba Moreno</t>
  </si>
  <si>
    <r>
      <rPr>
        <rFont val="arial"/>
        <color rgb="FF1155CC"/>
        <u/>
      </rPr>
      <t>LEO ARJONA</t>
    </r>
  </si>
  <si>
    <r>
      <rPr>
        <rFont val="arial"/>
        <color rgb="FF1155CC"/>
        <u/>
      </rPr>
      <t>POLL ANRIA</t>
    </r>
  </si>
  <si>
    <t>6613-9410</t>
  </si>
  <si>
    <t>Edilberto Moreno</t>
  </si>
  <si>
    <r>
      <rPr>
        <rFont val="arial"/>
        <color rgb="FF1155CC"/>
        <u/>
      </rPr>
      <t>NARCISO ARELLANO MORENO</t>
    </r>
  </si>
  <si>
    <t>FB3139</t>
  </si>
  <si>
    <t>CARLOS ERNESTO MOLINA HONDAL</t>
  </si>
  <si>
    <r>
      <rPr>
        <rFont val="arial"/>
        <color rgb="FF1155CC"/>
        <u/>
      </rPr>
      <t>JESUS VELEIRO CARBALLEDA</t>
    </r>
  </si>
  <si>
    <r>
      <rPr>
        <rFont val="arial"/>
        <color rgb="FF1155CC"/>
        <u/>
      </rPr>
      <t>RODOLFO FERREIRA</t>
    </r>
  </si>
  <si>
    <r>
      <rPr>
        <rFont val="arial"/>
        <color rgb="FF1155CC"/>
        <u/>
      </rPr>
      <t>SAJID DAYAN Bhiku</t>
    </r>
  </si>
  <si>
    <t>6-197-144</t>
  </si>
  <si>
    <t>ROGER TEJADA</t>
  </si>
  <si>
    <r>
      <rPr>
        <rFont val="arial"/>
        <color rgb="FF1155CC"/>
        <u/>
      </rPr>
      <t>SAJID DAYAN Bhiku</t>
    </r>
  </si>
  <si>
    <r>
      <rPr>
        <rFont val="arial"/>
        <color rgb="FF1155CC"/>
        <u/>
      </rPr>
      <t>SAJID DAYAN Bhiku</t>
    </r>
  </si>
  <si>
    <t>8-841-1746</t>
  </si>
  <si>
    <t>JOSE ANTONIO SEGOVIA HORMECHEQ</t>
  </si>
  <si>
    <r>
      <rPr>
        <rFont val="arial"/>
        <color rgb="FF1155CC"/>
        <u/>
      </rPr>
      <t>RICARDO VALENCIA</t>
    </r>
  </si>
  <si>
    <r>
      <rPr>
        <rFont val="arial"/>
        <color rgb="FF1155CC"/>
        <u/>
      </rPr>
      <t>Alexander De Gracia</t>
    </r>
  </si>
  <si>
    <t>GILBERTO AROSEMENA</t>
  </si>
  <si>
    <r>
      <rPr>
        <rFont val="arial"/>
        <color rgb="FF1155CC"/>
        <u/>
      </rPr>
      <t>Berty Alberto Djamous</t>
    </r>
  </si>
  <si>
    <t>8-413-872</t>
  </si>
  <si>
    <t>ADOLFO VILLA</t>
  </si>
  <si>
    <r>
      <rPr>
        <rFont val="arial"/>
        <color rgb="FF1155CC"/>
        <u/>
      </rPr>
      <t>Daniel Djamous</t>
    </r>
  </si>
  <si>
    <t>8-436-160</t>
  </si>
  <si>
    <t>LEO ARJONA</t>
  </si>
  <si>
    <r>
      <rPr>
        <rFont val="arial"/>
        <color rgb="FF1155CC"/>
        <u/>
      </rPr>
      <t>Daniel Djamous</t>
    </r>
  </si>
  <si>
    <r>
      <rPr>
        <rFont val="arial"/>
        <color rgb="FF1155CC"/>
        <u/>
      </rPr>
      <t>LUIS ENRIQUE BANDERA</t>
    </r>
  </si>
  <si>
    <t>JOSE DAVID CARRILLO GARIBELLO</t>
  </si>
  <si>
    <r>
      <rPr>
        <rFont val="arial"/>
        <color rgb="FF1155CC"/>
        <u/>
      </rPr>
      <t>JAVIER SUAREZ PINZON</t>
    </r>
  </si>
  <si>
    <t>PAUL VERA</t>
  </si>
  <si>
    <r>
      <rPr>
        <rFont val="arial"/>
        <color rgb="FF1155CC"/>
        <u/>
      </rPr>
      <t>ROGER MOJICA</t>
    </r>
  </si>
  <si>
    <r>
      <rPr>
        <rFont val="arial"/>
        <color rgb="FF1155CC"/>
        <u/>
      </rPr>
      <t>FRANK ALEXIS ABREGO</t>
    </r>
  </si>
  <si>
    <t>Pedro Junior Cruz Gomez</t>
  </si>
  <si>
    <r>
      <rPr>
        <rFont val="arial"/>
        <color rgb="FF1155CC"/>
        <u/>
      </rPr>
      <t>FRANK ALEXIS ABREGO</t>
    </r>
  </si>
  <si>
    <r>
      <rPr>
        <rFont val="arial"/>
        <color rgb="FF1155CC"/>
        <u/>
      </rPr>
      <t>CARLOS MORENO VEGA</t>
    </r>
  </si>
  <si>
    <t>E-8-139850</t>
  </si>
  <si>
    <t>CAMILO MURIEL</t>
  </si>
  <si>
    <r>
      <rPr>
        <rFont val="arial"/>
        <color rgb="FF1155CC"/>
        <u/>
      </rPr>
      <t>CARLOS MORENO VEGA</t>
    </r>
  </si>
  <si>
    <t>6408-2598</t>
  </si>
  <si>
    <r>
      <rPr>
        <rFont val="arial"/>
        <color rgb="FF1155CC"/>
        <u/>
      </rPr>
      <t>ADOLFO VILLA</t>
    </r>
  </si>
  <si>
    <t>Claudio Henrique De Silva</t>
  </si>
  <si>
    <r>
      <rPr>
        <rFont val="arial"/>
        <color rgb="FF1155CC"/>
        <u/>
      </rPr>
      <t>LEO ARJONA</t>
    </r>
  </si>
  <si>
    <r>
      <rPr>
        <rFont val="arial"/>
        <color rgb="FF1155CC"/>
        <u/>
      </rPr>
      <t>LEO ARJONA</t>
    </r>
  </si>
  <si>
    <t>8-212-1281</t>
  </si>
  <si>
    <t>RODRIGO CHANIS</t>
  </si>
  <si>
    <r>
      <rPr>
        <rFont val="arial"/>
        <color rgb="FF1155CC"/>
        <u/>
      </rPr>
      <t>RAUL DIAZ</t>
    </r>
  </si>
  <si>
    <r>
      <rPr>
        <rFont val="arial"/>
        <color rgb="FF1155CC"/>
        <u/>
      </rPr>
      <t>JAIME FERNANDEZ POLICIA</t>
    </r>
  </si>
  <si>
    <t>8-875-588</t>
  </si>
  <si>
    <t>CELSO HIJO CORDOBA</t>
  </si>
  <si>
    <r>
      <rPr>
        <rFont val="arial"/>
        <color rgb="FF1155CC"/>
        <u/>
      </rPr>
      <t>JAIME FERNANDEZ POLICIA</t>
    </r>
  </si>
  <si>
    <r>
      <rPr>
        <rFont val="arial"/>
        <color rgb="FF1155CC"/>
        <u/>
      </rPr>
      <t>JAIME FERNANDEZ POLICIA</t>
    </r>
  </si>
  <si>
    <r>
      <rPr>
        <rFont val="arial"/>
        <color rgb="FF1155CC"/>
        <u/>
      </rPr>
      <t>NARCISO ARELLANO MORENO</t>
    </r>
  </si>
  <si>
    <t>8-430-710</t>
  </si>
  <si>
    <t>GABRIEL CEDEÑO</t>
  </si>
  <si>
    <r>
      <rPr>
        <rFont val="arial"/>
        <color rgb="FF1155CC"/>
        <u/>
      </rPr>
      <t>NARCISO ARELLANO MORENO</t>
    </r>
  </si>
  <si>
    <r>
      <rPr>
        <rFont val="arial"/>
        <color rgb="FF1155CC"/>
        <u/>
      </rPr>
      <t>ELISEO TORRES BARRAGAN</t>
    </r>
  </si>
  <si>
    <r>
      <rPr>
        <rFont val="arial"/>
        <color rgb="FF1155CC"/>
        <u/>
      </rPr>
      <t>ELISEO TORRES BARRAGAN</t>
    </r>
  </si>
  <si>
    <t>8-974-43</t>
  </si>
  <si>
    <t>Farid Batha Bhiku</t>
  </si>
  <si>
    <r>
      <rPr>
        <rFont val="arial"/>
        <color rgb="FF1155CC"/>
        <u/>
      </rPr>
      <t>ELIASID ELISEA TORRES CHAPARRO</t>
    </r>
  </si>
  <si>
    <r>
      <rPr>
        <rFont val="arial"/>
        <color rgb="FF1155CC"/>
        <u/>
      </rPr>
      <t>JUAN FELIPE PENA RAMIREZ</t>
    </r>
  </si>
  <si>
    <t>8-838-1556</t>
  </si>
  <si>
    <t>Carlos Justiniani</t>
  </si>
  <si>
    <r>
      <rPr>
        <rFont val="arial"/>
        <color rgb="FF1155CC"/>
        <u/>
      </rPr>
      <t>JUAN FELIPE PENA RAMIREZ</t>
    </r>
  </si>
  <si>
    <r>
      <rPr>
        <rFont val="arial"/>
        <color rgb="FF1155CC"/>
        <u/>
      </rPr>
      <t>RICARDO CORDOBA AEROPUERTO</t>
    </r>
  </si>
  <si>
    <r>
      <rPr>
        <rFont val="arial"/>
        <color rgb="FF1155CC"/>
        <u/>
      </rPr>
      <t>LUIS GARCIA</t>
    </r>
  </si>
  <si>
    <t>8-872-1996</t>
  </si>
  <si>
    <t>Ronaldo Mackay</t>
  </si>
  <si>
    <r>
      <rPr>
        <rFont val="arial"/>
        <color rgb="FF1155CC"/>
        <u/>
      </rPr>
      <t>JESUS VELEIRO CARBALLEDA</t>
    </r>
  </si>
  <si>
    <r>
      <rPr>
        <rFont val="arial"/>
        <color rgb="FF1155CC"/>
        <u/>
      </rPr>
      <t>JESUS VELEIRO CARBALLEDA</t>
    </r>
  </si>
  <si>
    <t>3-704-1855</t>
  </si>
  <si>
    <t>Jorge Gomez Shiplez</t>
  </si>
  <si>
    <r>
      <rPr>
        <rFont val="arial"/>
        <color rgb="FF1155CC"/>
        <u/>
      </rPr>
      <t>Alexander De Gracia</t>
    </r>
  </si>
  <si>
    <r>
      <rPr>
        <rFont val="arial"/>
        <color rgb="FF1155CC"/>
        <u/>
      </rPr>
      <t>RAFAEL BROWN RANGEL</t>
    </r>
  </si>
  <si>
    <t>Benigno Jose Salas Olmos</t>
  </si>
  <si>
    <r>
      <rPr>
        <rFont val="arial"/>
        <color rgb="FF1155CC"/>
        <u/>
      </rPr>
      <t>RAFAEL BROWN RANGEL</t>
    </r>
  </si>
  <si>
    <r>
      <rPr>
        <rFont val="arial"/>
        <color rgb="FF1155CC"/>
        <u/>
      </rPr>
      <t>ELISEO TORRES BARRAGAN</t>
    </r>
  </si>
  <si>
    <t>4-759-1929</t>
  </si>
  <si>
    <t>Roberto Anibal Benavidez Castillo</t>
  </si>
  <si>
    <r>
      <rPr>
        <rFont val="arial"/>
        <color rgb="FF1155CC"/>
        <u/>
      </rPr>
      <t>ELISEO TORRES BARRAGAN</t>
    </r>
  </si>
  <si>
    <r>
      <rPr>
        <rFont val="arial"/>
        <color rgb="FF1155CC"/>
        <u/>
      </rPr>
      <t>ELISEO TORRES BARRAGAN</t>
    </r>
  </si>
  <si>
    <t>8-250-536</t>
  </si>
  <si>
    <t>Roddy Alberto Gonzalez</t>
  </si>
  <si>
    <r>
      <rPr>
        <rFont val="arial"/>
        <color rgb="FF1155CC"/>
        <u/>
      </rPr>
      <t>JORGE A NUÑEZ F</t>
    </r>
  </si>
  <si>
    <t>Giovanny Prieto Angulo</t>
  </si>
  <si>
    <r>
      <rPr>
        <rFont val="arial"/>
        <color rgb="FF1155CC"/>
        <u/>
      </rPr>
      <t>RICARDO ANTONIO GRIFFITH CHAVEZ</t>
    </r>
  </si>
  <si>
    <r>
      <rPr>
        <rFont val="arial"/>
        <color rgb="FF1155CC"/>
        <u/>
      </rPr>
      <t>RICARDO ANTONIO GRIFFITH CHAVEZ</t>
    </r>
  </si>
  <si>
    <t>Juan Carlos Rodriguez Rangel</t>
  </si>
  <si>
    <r>
      <rPr>
        <rFont val="arial"/>
        <color rgb="FF1155CC"/>
        <u/>
      </rPr>
      <t>CARLOS ERNESTO MOLINA HONDAL</t>
    </r>
  </si>
  <si>
    <r>
      <rPr>
        <rFont val="arial"/>
        <color rgb="FF1155CC"/>
        <u/>
      </rPr>
      <t>CARLOS ERNESTO MOLINA HONDAL</t>
    </r>
  </si>
  <si>
    <r>
      <rPr>
        <rFont val="arial"/>
        <color rgb="FF1155CC"/>
        <u/>
      </rPr>
      <t>JUAN MANUEL BARLETTA</t>
    </r>
  </si>
  <si>
    <t>8-442-694</t>
  </si>
  <si>
    <t>Ramon Zafrani</t>
  </si>
  <si>
    <r>
      <rPr>
        <rFont val="arial"/>
        <color rgb="FF1155CC"/>
        <u/>
      </rPr>
      <t>JUAN MANUEL BARLETTA</t>
    </r>
  </si>
  <si>
    <r>
      <rPr>
        <rFont val="arial"/>
        <color rgb="FF1155CC"/>
        <u/>
      </rPr>
      <t>JUAN MANUEL BARLETTA</t>
    </r>
  </si>
  <si>
    <t>4-138-330</t>
  </si>
  <si>
    <t>Jorge Caceres</t>
  </si>
  <si>
    <r>
      <rPr>
        <rFont val="arial"/>
        <color rgb="FF1155CC"/>
        <u/>
      </rPr>
      <t>JUAN MANUEL BARLETTA</t>
    </r>
  </si>
  <si>
    <r>
      <rPr>
        <rFont val="arial"/>
        <color rgb="FF1155CC"/>
        <u/>
      </rPr>
      <t>JUAN MANUEL BARLETTA</t>
    </r>
  </si>
  <si>
    <r>
      <rPr>
        <rFont val="arial"/>
        <color rgb="FF1155CC"/>
        <u/>
      </rPr>
      <t>Alexander De Gracia</t>
    </r>
  </si>
  <si>
    <t>PE-14-1252</t>
  </si>
  <si>
    <t>Joseph Pieck</t>
  </si>
  <si>
    <r>
      <rPr>
        <rFont val="arial"/>
        <color rgb="FF1155CC"/>
        <u/>
      </rPr>
      <t>Alexander De Gracia</t>
    </r>
  </si>
  <si>
    <r>
      <rPr>
        <rFont val="arial"/>
        <color rgb="FF1155CC"/>
        <u/>
      </rPr>
      <t>FRANK ALEXIS ABREGO</t>
    </r>
  </si>
  <si>
    <t>E-8-172874</t>
  </si>
  <si>
    <t>Paulo Medeiros</t>
  </si>
  <si>
    <r>
      <rPr>
        <rFont val="arial"/>
        <color rgb="FF1155CC"/>
        <u/>
      </rPr>
      <t>JORGE RODRIGUEZ</t>
    </r>
  </si>
  <si>
    <r>
      <rPr>
        <rFont val="arial"/>
        <color rgb="FF1155CC"/>
        <u/>
      </rPr>
      <t>JORGE RODRIGUEZ</t>
    </r>
  </si>
  <si>
    <t>8-809-986</t>
  </si>
  <si>
    <t>Eduardo Ortiz De Zevallos</t>
  </si>
  <si>
    <r>
      <rPr>
        <rFont val="arial"/>
        <color rgb="FF1155CC"/>
        <u/>
      </rPr>
      <t>ALVARO CHING</t>
    </r>
  </si>
  <si>
    <r>
      <rPr>
        <rFont val="arial"/>
        <color rgb="FF1155CC"/>
        <u/>
      </rPr>
      <t>JUAN CARLOS ALVARO LOPEZ ABUELO</t>
    </r>
  </si>
  <si>
    <t>Daniel Hidrie Somoj</t>
  </si>
  <si>
    <r>
      <rPr>
        <rFont val="arial"/>
        <color rgb="FF1155CC"/>
        <u/>
      </rPr>
      <t>JUAN CARLOS ALVARO LOPEZ ABUELO</t>
    </r>
  </si>
  <si>
    <t>8-731-474</t>
  </si>
  <si>
    <t>JORGE RICARDO BRATHWAITE WILLIAMS</t>
  </si>
  <si>
    <r>
      <rPr>
        <rFont val="arial"/>
        <color rgb="FF1155CC"/>
        <u/>
      </rPr>
      <t>JUAN CARLOS ALVARO LOPEZ ABUELO</t>
    </r>
  </si>
  <si>
    <r>
      <rPr>
        <rFont val="arial"/>
        <color rgb="FF1155CC"/>
        <u/>
      </rPr>
      <t>JUAN CARLOS ALVARO LOPEZ ABUELO</t>
    </r>
  </si>
  <si>
    <r>
      <rPr>
        <rFont val="arial"/>
        <color rgb="FF1155CC"/>
        <u/>
      </rPr>
      <t>ELISEO TORRES BARRAGAN</t>
    </r>
  </si>
  <si>
    <t>3-742-1679</t>
  </si>
  <si>
    <t>REFAEL VILLAREAL HIJO</t>
  </si>
  <si>
    <r>
      <rPr>
        <rFont val="arial"/>
        <color rgb="FF1155CC"/>
        <u/>
      </rPr>
      <t>ELISEO TORRES BARRAGAN</t>
    </r>
  </si>
  <si>
    <r>
      <rPr>
        <rFont val="arial"/>
        <color rgb="FF1155CC"/>
        <u/>
      </rPr>
      <t>MAURIZIO ITALO PIGNANO</t>
    </r>
  </si>
  <si>
    <t>6-73-887</t>
  </si>
  <si>
    <t>RAFAEL VILLAREAL PAPA</t>
  </si>
  <si>
    <r>
      <rPr>
        <rFont val="arial"/>
        <color rgb="FF1155CC"/>
        <u/>
      </rPr>
      <t>JAIME FERNANDEZ POLICIA</t>
    </r>
  </si>
  <si>
    <r>
      <rPr>
        <rFont val="arial"/>
        <color rgb="FF1155CC"/>
        <u/>
      </rPr>
      <t>ANIBAL NAVARRO</t>
    </r>
  </si>
  <si>
    <t>6223-00</t>
  </si>
  <si>
    <t>JUAN ERNESTO SOTO</t>
  </si>
  <si>
    <r>
      <rPr>
        <rFont val="arial"/>
        <color rgb="FF1155CC"/>
        <u/>
      </rPr>
      <t>ANIBAL NAVARRO</t>
    </r>
  </si>
  <si>
    <r>
      <rPr>
        <rFont val="arial"/>
        <color rgb="FF1155CC"/>
        <u/>
      </rPr>
      <t>ANIBAL NAVARRO</t>
    </r>
  </si>
  <si>
    <t>8-835-1251</t>
  </si>
  <si>
    <t>RICARDO ANTONIO GRIFFITH CHAVEZ</t>
  </si>
  <si>
    <r>
      <rPr>
        <rFont val="arial"/>
        <color rgb="FF1155CC"/>
        <u/>
      </rPr>
      <t>ERNESTO CALVO JR</t>
    </r>
  </si>
  <si>
    <r>
      <rPr>
        <rFont val="arial"/>
        <color rgb="FF1155CC"/>
        <u/>
      </rPr>
      <t>Alexander De Gracia</t>
    </r>
  </si>
  <si>
    <t>5076323-88</t>
  </si>
  <si>
    <t>EDGAR CASTILLO D.H.L</t>
  </si>
  <si>
    <r>
      <rPr>
        <rFont val="arial"/>
        <color rgb="FF1155CC"/>
        <u/>
      </rPr>
      <t>FELIX RAFAEL FALLABELLA</t>
    </r>
  </si>
  <si>
    <r>
      <rPr>
        <rFont val="arial"/>
        <color rgb="FF1155CC"/>
        <u/>
      </rPr>
      <t>FELIX RAFAEL FALLABELLA</t>
    </r>
  </si>
  <si>
    <t>ISAAC HENRY HARRARI</t>
  </si>
  <si>
    <r>
      <rPr>
        <rFont val="arial"/>
        <color rgb="FF1155CC"/>
        <u/>
      </rPr>
      <t>ALFREDO ZEBEDE FREDDY</t>
    </r>
  </si>
  <si>
    <t>3-94-669</t>
  </si>
  <si>
    <t>Karlos Bustamante</t>
  </si>
  <si>
    <r>
      <rPr>
        <rFont val="arial"/>
        <color rgb="FF1155CC"/>
        <u/>
      </rPr>
      <t>ALFREDO ZEBEDE FREDDY</t>
    </r>
  </si>
  <si>
    <r>
      <rPr>
        <rFont val="arial"/>
        <color rgb="FF1155CC"/>
        <u/>
      </rPr>
      <t>ALFREDO ZEBEDE FREDDY</t>
    </r>
  </si>
  <si>
    <t>6-100-1592</t>
  </si>
  <si>
    <t>Alexander De Gracia</t>
  </si>
  <si>
    <r>
      <rPr>
        <rFont val="arial"/>
        <color rgb="FF1155CC"/>
        <u/>
      </rPr>
      <t>Ramiro Rueda Ossa</t>
    </r>
  </si>
  <si>
    <t>Dario Martinez</t>
  </si>
  <si>
    <r>
      <rPr>
        <rFont val="arial"/>
        <color rgb="FF1155CC"/>
        <u/>
      </rPr>
      <t>LUIS ENRIQUE BANDERA</t>
    </r>
  </si>
  <si>
    <r>
      <rPr>
        <rFont val="arial"/>
        <color rgb="FF1155CC"/>
        <u/>
      </rPr>
      <t>LUIS ENRIQUE BANDERA</t>
    </r>
  </si>
  <si>
    <t>3-930-59</t>
  </si>
  <si>
    <t>Fernando Espino</t>
  </si>
  <si>
    <r>
      <rPr>
        <rFont val="arial"/>
        <color rgb="FF1155CC"/>
        <u/>
      </rPr>
      <t>ALFREDO ZEBEDE PAPA</t>
    </r>
  </si>
  <si>
    <r>
      <rPr>
        <rFont val="arial"/>
        <color rgb="FF1155CC"/>
        <u/>
      </rPr>
      <t>Roddy Alberto Gonzalez</t>
    </r>
  </si>
  <si>
    <t>JULIO MOLTO</t>
  </si>
  <si>
    <r>
      <rPr>
        <rFont val="arial"/>
        <color rgb="FF1155CC"/>
        <u/>
      </rPr>
      <t>JULIO MENDEZ</t>
    </r>
  </si>
  <si>
    <r>
      <rPr>
        <rFont val="arial"/>
        <color rgb="FF1155CC"/>
        <u/>
      </rPr>
      <t>JULIO MENDEZ</t>
    </r>
  </si>
  <si>
    <r>
      <rPr>
        <rFont val="arial"/>
        <color rgb="FF1155CC"/>
        <u/>
      </rPr>
      <t>TOMAS POLANCO</t>
    </r>
  </si>
  <si>
    <t>4-104-1793</t>
  </si>
  <si>
    <t>JUAN CARLOS RODRIGUEZ BERNAL</t>
  </si>
  <si>
    <t>5076200-9236/PANAMA</t>
  </si>
  <si>
    <r>
      <rPr>
        <rFont val="arial"/>
        <color rgb="FF1155CC"/>
        <u/>
      </rPr>
      <t>JUAN CARLOS ALVARO HIJO</t>
    </r>
  </si>
  <si>
    <r>
      <rPr>
        <rFont val="arial"/>
        <color rgb="FF1155CC"/>
        <u/>
      </rPr>
      <t>JUAN CARLOS ALVARO HIJO</t>
    </r>
  </si>
  <si>
    <t>MANUEL MORENO</t>
  </si>
  <si>
    <r>
      <rPr>
        <rFont val="arial"/>
        <color rgb="FF1155CC"/>
        <u/>
      </rPr>
      <t>DAVID MISSRIE</t>
    </r>
  </si>
  <si>
    <t>8-387-974</t>
  </si>
  <si>
    <t>JUAN CARLOS ORILLAC URRUTIA</t>
  </si>
  <si>
    <r>
      <rPr>
        <rFont val="arial"/>
        <color rgb="FF1155CC"/>
        <u/>
      </rPr>
      <t>JORGE RICARDO BRATHWAITE WILLIAMS</t>
    </r>
  </si>
  <si>
    <r>
      <rPr>
        <rFont val="arial"/>
        <color rgb="FF1155CC"/>
        <u/>
      </rPr>
      <t>JUAN CARLOS ALVARO LOPEZ ABUELO</t>
    </r>
  </si>
  <si>
    <r>
      <rPr>
        <rFont val="arial"/>
        <color rgb="FF1155CC"/>
        <u/>
      </rPr>
      <t>JUAN CARLOS ALVARO LOPEZ ABUELO</t>
    </r>
  </si>
  <si>
    <t>DARIO MORENO</t>
  </si>
  <si>
    <r>
      <rPr>
        <rFont val="arial"/>
        <color rgb="FF1155CC"/>
        <u/>
      </rPr>
      <t>Juan Diego Quintero Candanedo</t>
    </r>
  </si>
  <si>
    <t>FELIX HIJO FALLABELLA</t>
  </si>
  <si>
    <r>
      <rPr>
        <rFont val="arial"/>
        <color rgb="FF1155CC"/>
        <u/>
      </rPr>
      <t>RICARDO CORDOBA AEROPUERTO</t>
    </r>
  </si>
  <si>
    <r>
      <rPr>
        <rFont val="arial"/>
        <color rgb="FF1155CC"/>
        <u/>
      </rPr>
      <t>Dario Martinez</t>
    </r>
  </si>
  <si>
    <t>4-139-2510</t>
  </si>
  <si>
    <t>LUIS FELIPE ICAZA F</t>
  </si>
  <si>
    <r>
      <rPr>
        <rFont val="arial"/>
        <color rgb="FF1155CC"/>
        <u/>
      </rPr>
      <t>JUAN CARLOS RODRIGUEZ BERNAL</t>
    </r>
  </si>
  <si>
    <t>FELIX RAFAEL FALLABELLA</t>
  </si>
  <si>
    <r>
      <rPr>
        <rFont val="arial"/>
        <color rgb="FF1155CC"/>
        <u/>
      </rPr>
      <t>JUAN CARLOS RODRIGUEZ BERNAL</t>
    </r>
  </si>
  <si>
    <r>
      <rPr>
        <rFont val="arial"/>
        <color rgb="FF1155CC"/>
        <u/>
      </rPr>
      <t>ALFREDO ZEBEDE PAPA</t>
    </r>
  </si>
  <si>
    <t>8-236-1213</t>
  </si>
  <si>
    <r>
      <rPr>
        <rFont val="arial"/>
        <color rgb="FF1155CC"/>
        <u/>
      </rPr>
      <t>JULIO ENRIQUE MOLTO HIJO</t>
    </r>
  </si>
  <si>
    <t>FRANK ALEXIS ABREGO</t>
  </si>
  <si>
    <r>
      <rPr>
        <rFont val="arial"/>
        <color rgb="FF1155CC"/>
        <u/>
      </rPr>
      <t>JULIO ENRIQUE MOLTO HIJO</t>
    </r>
  </si>
  <si>
    <t>JAIME FERNANDEZ POLICIA</t>
  </si>
  <si>
    <r>
      <rPr>
        <rFont val="arial"/>
        <color rgb="FF1155CC"/>
        <u/>
      </rPr>
      <t>JULIO ENRIQUE MOLTO HIJO</t>
    </r>
  </si>
  <si>
    <r>
      <rPr>
        <rFont val="arial"/>
        <color rgb="FF1155CC"/>
        <u/>
      </rPr>
      <t>LEO ARJONA</t>
    </r>
  </si>
  <si>
    <t>MANUEL HERNANDEZ</t>
  </si>
  <si>
    <r>
      <rPr>
        <rFont val="arial"/>
        <color rgb="FF1155CC"/>
        <u/>
      </rPr>
      <t>ADOLFO VILLA</t>
    </r>
  </si>
  <si>
    <r>
      <rPr>
        <rFont val="arial"/>
        <color rgb="FF1155CC"/>
        <u/>
      </rPr>
      <t>ADOLFO VILLA</t>
    </r>
  </si>
  <si>
    <t>9-715-1797</t>
  </si>
  <si>
    <t>MEIR OVADIA LEUY</t>
  </si>
  <si>
    <r>
      <rPr>
        <rFont val="arial"/>
        <color rgb="FF1155CC"/>
        <u/>
      </rPr>
      <t>ADOLFO VILLA</t>
    </r>
  </si>
  <si>
    <r>
      <rPr>
        <rFont val="arial"/>
        <color rgb="FF1155CC"/>
        <u/>
      </rPr>
      <t>LUIS SANTA MARIA</t>
    </r>
  </si>
  <si>
    <t>RICARDO MELAMED</t>
  </si>
  <si>
    <r>
      <rPr>
        <rFont val="arial"/>
        <color rgb="FF1155CC"/>
        <u/>
      </rPr>
      <t>GABRIEL DE JANON PAPA PAPA</t>
    </r>
  </si>
  <si>
    <t>19-160</t>
  </si>
  <si>
    <t>ETAN NARKIS</t>
  </si>
  <si>
    <r>
      <rPr>
        <rFont val="arial"/>
        <color rgb="FF1155CC"/>
        <u/>
      </rPr>
      <t>Luis Gabriel Marín</t>
    </r>
  </si>
  <si>
    <r>
      <rPr>
        <rFont val="arial"/>
        <color rgb="FF1155CC"/>
        <u/>
      </rPr>
      <t>Eduardo GUERRERO</t>
    </r>
  </si>
  <si>
    <t>Andres Felipe Lote</t>
  </si>
  <si>
    <r>
      <rPr>
        <rFont val="arial"/>
        <color rgb="FF1155CC"/>
        <u/>
      </rPr>
      <t>Eduardo GUERRERO</t>
    </r>
  </si>
  <si>
    <t>CARLOS MANUEL SILVA</t>
  </si>
  <si>
    <r>
      <rPr>
        <rFont val="arial"/>
        <color rgb="FF1155CC"/>
        <u/>
      </rPr>
      <t>GABRIEL DE JANON PAPA PAPA</t>
    </r>
  </si>
  <si>
    <r>
      <rPr>
        <rFont val="arial"/>
        <color rgb="FF1155CC"/>
        <u/>
      </rPr>
      <t>ARTURO DE JANON</t>
    </r>
  </si>
  <si>
    <t>13/07/2024</t>
  </si>
  <si>
    <t>CARLOS ANDRES CALDERON OVALLE</t>
  </si>
  <si>
    <r>
      <rPr>
        <rFont val="arial"/>
        <color rgb="FF1155CC"/>
        <u/>
      </rPr>
      <t>RAMON DE JANON</t>
    </r>
  </si>
  <si>
    <r>
      <rPr>
        <rFont val="arial"/>
        <color rgb="FF1155CC"/>
        <u/>
      </rPr>
      <t>RAUL DIAZ</t>
    </r>
  </si>
  <si>
    <r>
      <rPr>
        <rFont val="arial"/>
        <color rgb="FF1155CC"/>
        <u/>
      </rPr>
      <t>JOSE GOMEZ</t>
    </r>
  </si>
  <si>
    <t>8-787-1087</t>
  </si>
  <si>
    <t>SAJID DAYAN Bhiku</t>
  </si>
  <si>
    <r>
      <rPr>
        <rFont val="arial"/>
        <color rgb="FF1155CC"/>
        <u/>
      </rPr>
      <t>DAVIDE TOMASSOM</t>
    </r>
  </si>
  <si>
    <t>8-838-2398</t>
  </si>
  <si>
    <t>Benny Corkidi</t>
  </si>
  <si>
    <r>
      <rPr>
        <rFont val="arial"/>
        <color rgb="FF1155CC"/>
        <u/>
      </rPr>
      <t>Ronaldo Mackay</t>
    </r>
  </si>
  <si>
    <t>8-931-787</t>
  </si>
  <si>
    <t>Jack Dayan</t>
  </si>
  <si>
    <r>
      <rPr>
        <rFont val="arial"/>
        <color rgb="FF1155CC"/>
        <u/>
      </rPr>
      <t>Ronaldo Mackay</t>
    </r>
  </si>
  <si>
    <r>
      <rPr>
        <rFont val="arial"/>
        <color rgb="FF1155CC"/>
        <u/>
      </rPr>
      <t>Ronaldo Mackay</t>
    </r>
  </si>
  <si>
    <t>8-952-1476</t>
  </si>
  <si>
    <r>
      <rPr>
        <rFont val="arial"/>
        <color rgb="FF1155CC"/>
        <u/>
      </rPr>
      <t>Ronaldo Mackay</t>
    </r>
  </si>
  <si>
    <t>Joseph Dayan</t>
  </si>
  <si>
    <r>
      <rPr>
        <rFont val="arial"/>
        <color rgb="FF1155CC"/>
        <u/>
      </rPr>
      <t>MICHAEL SOTO</t>
    </r>
  </si>
  <si>
    <r>
      <rPr>
        <rFont val="arial"/>
        <color rgb="FF1155CC"/>
        <u/>
      </rPr>
      <t>DANIEL PARDINI</t>
    </r>
  </si>
  <si>
    <t>Juan Lorenzo Mejia Dasilva</t>
  </si>
  <si>
    <r>
      <rPr>
        <rFont val="arial"/>
        <color rgb="FF1155CC"/>
        <u/>
      </rPr>
      <t>DANIEL PARDINI</t>
    </r>
  </si>
  <si>
    <t>3-742-1678</t>
  </si>
  <si>
    <t>Eduardo Andres villarreal</t>
  </si>
  <si>
    <t>PANAMA iniciales E.A.V.S. al lado del ojal</t>
  </si>
  <si>
    <r>
      <rPr>
        <rFont val="arial"/>
        <color rgb="FF1155CC"/>
        <u/>
      </rPr>
      <t>DANIEL PARDINI</t>
    </r>
  </si>
  <si>
    <r>
      <rPr>
        <rFont val="arial"/>
        <color rgb="FF1155CC"/>
        <u/>
      </rPr>
      <t>JUAN CARLOS ALVARO DELGADO PAPA</t>
    </r>
  </si>
  <si>
    <t>Victor Saldaña</t>
  </si>
  <si>
    <r>
      <rPr>
        <rFont val="arial"/>
        <color rgb="FF1155CC"/>
        <u/>
      </rPr>
      <t>JUAN CARLOS ALVARO HIJO</t>
    </r>
  </si>
  <si>
    <r>
      <rPr>
        <rFont val="arial"/>
        <color rgb="FF1155CC"/>
        <u/>
      </rPr>
      <t>JUAN CARLOS ALVARO HIJO</t>
    </r>
  </si>
  <si>
    <t>8-851-519</t>
  </si>
  <si>
    <t>MARCO ANTONIO OBANDO CHAVEZ</t>
  </si>
  <si>
    <r>
      <rPr>
        <rFont val="arial"/>
        <color rgb="FF1155CC"/>
        <u/>
      </rPr>
      <t>MARIO JAVIER JACAS GARCIA</t>
    </r>
  </si>
  <si>
    <t>6379-9078</t>
  </si>
  <si>
    <t>EDGAR ZACHRISSON MITRE</t>
  </si>
  <si>
    <r>
      <rPr>
        <rFont val="arial"/>
        <color rgb="FF1155CC"/>
        <u/>
      </rPr>
      <t>MARIO JAVIER JACAS GARCIA</t>
    </r>
  </si>
  <si>
    <r>
      <rPr>
        <rFont val="arial"/>
        <color rgb="FF1155CC"/>
        <u/>
      </rPr>
      <t>MARIO JAVIER JACAS GARCIA</t>
    </r>
  </si>
  <si>
    <r>
      <rPr>
        <rFont val="arial"/>
        <color rgb="FF1155CC"/>
        <u/>
      </rPr>
      <t>MANUEL MORENO</t>
    </r>
  </si>
  <si>
    <r>
      <rPr>
        <rFont val="arial"/>
        <color rgb="FF1155CC"/>
        <u/>
      </rPr>
      <t>MANUEL MORENO</t>
    </r>
  </si>
  <si>
    <t>EZRA CHABOT</t>
  </si>
  <si>
    <r>
      <rPr>
        <rFont val="arial"/>
        <color rgb="FF1155CC"/>
        <u/>
      </rPr>
      <t>MANUEL MORENO</t>
    </r>
  </si>
  <si>
    <r>
      <rPr>
        <rFont val="arial"/>
        <color rgb="FF1155CC"/>
        <u/>
      </rPr>
      <t>DINO MON</t>
    </r>
  </si>
  <si>
    <t>DAVID CHABOT</t>
  </si>
  <si>
    <r>
      <rPr>
        <rFont val="arial"/>
        <color rgb="FF1155CC"/>
        <u/>
      </rPr>
      <t>DINO MON</t>
    </r>
  </si>
  <si>
    <r>
      <rPr>
        <rFont val="arial"/>
        <color rgb="FF1155CC"/>
        <u/>
      </rPr>
      <t>RICARDO ANTONIO GRIFFITH CHAVEZ</t>
    </r>
  </si>
  <si>
    <t>ARIEL CHABOT</t>
  </si>
  <si>
    <r>
      <rPr>
        <rFont val="arial"/>
        <color rgb="FF1155CC"/>
        <u/>
      </rPr>
      <t>JOHN HENRY</t>
    </r>
  </si>
  <si>
    <r>
      <rPr>
        <rFont val="arial"/>
        <color rgb="FF1155CC"/>
        <u/>
      </rPr>
      <t>JORGE RICARDO BRATHWAITE WILLIAMS</t>
    </r>
  </si>
  <si>
    <t>19-05-2024</t>
  </si>
  <si>
    <t>RAUL FRANSCESHI</t>
  </si>
  <si>
    <r>
      <rPr>
        <rFont val="arial"/>
        <color rgb="FF1155CC"/>
        <u/>
      </rPr>
      <t>JORGE RICARDO BRATHWAITE WILLIAMS</t>
    </r>
  </si>
  <si>
    <r>
      <rPr>
        <rFont val="arial"/>
        <color rgb="FF1155CC"/>
        <u/>
      </rPr>
      <t>JORGE RICARDO BRATHWAITE WILLIAMS</t>
    </r>
  </si>
  <si>
    <t>8-433-226</t>
  </si>
  <si>
    <t>ALFREDO JUNCA WENDE BAKE</t>
  </si>
  <si>
    <r>
      <rPr>
        <rFont val="arial"/>
        <color rgb="FF1155CC"/>
        <u/>
      </rPr>
      <t>JORGE A NUÑEZ F</t>
    </r>
  </si>
  <si>
    <r>
      <rPr>
        <rFont val="arial"/>
        <color rgb="FF1155CC"/>
        <u/>
      </rPr>
      <t>Gabriel De Janon</t>
    </r>
  </si>
  <si>
    <t>15/04/2024</t>
  </si>
  <si>
    <t>ALVARO CHING</t>
  </si>
  <si>
    <r>
      <rPr>
        <rFont val="arial"/>
        <color rgb="FF1155CC"/>
        <u/>
      </rPr>
      <t>ALFREDO JUNCA WENDE BAKE</t>
    </r>
  </si>
  <si>
    <t>PE-13-2076</t>
  </si>
  <si>
    <t>Isaac Hafez Azrak</t>
  </si>
  <si>
    <r>
      <rPr>
        <rFont val="arial"/>
        <color rgb="FF1155CC"/>
        <u/>
      </rPr>
      <t>PAUL NAHEN</t>
    </r>
  </si>
  <si>
    <t>8-778-1982</t>
  </si>
  <si>
    <t>Augusto Salguera</t>
  </si>
  <si>
    <r>
      <rPr>
        <rFont val="arial"/>
        <color rgb="FF1155CC"/>
        <u/>
      </rPr>
      <t>CARLOS ERNESTO MOLINA HONDAL</t>
    </r>
  </si>
  <si>
    <r>
      <rPr>
        <rFont val="arial"/>
        <color rgb="FF1155CC"/>
        <u/>
      </rPr>
      <t>ADOLFO VILLA</t>
    </r>
  </si>
  <si>
    <t>2-126-342</t>
  </si>
  <si>
    <t>Manuel Antonio Bernal Bernal</t>
  </si>
  <si>
    <r>
      <rPr>
        <rFont val="arial"/>
        <color rgb="FF1155CC"/>
        <u/>
      </rPr>
      <t>JULIO ENRIQUE MOLTO HIJO</t>
    </r>
  </si>
  <si>
    <r>
      <rPr>
        <rFont val="arial"/>
        <color rgb="FF1155CC"/>
        <u/>
      </rPr>
      <t>Celso Jose Cordoba Moreno</t>
    </r>
  </si>
  <si>
    <t>8-883-293</t>
  </si>
  <si>
    <t>Jorge Antonio Garcia Arias</t>
  </si>
  <si>
    <r>
      <rPr>
        <rFont val="arial"/>
        <color rgb="FF1155CC"/>
        <u/>
      </rPr>
      <t>CARLOS MORENO VEGA</t>
    </r>
  </si>
  <si>
    <t>4-744-1800</t>
  </si>
  <si>
    <t>Felipe Batista Acosta</t>
  </si>
  <si>
    <r>
      <rPr>
        <rFont val="arial"/>
        <color rgb="FF1155CC"/>
        <u/>
      </rPr>
      <t>CARLOS MORENO VEGA</t>
    </r>
  </si>
  <si>
    <r>
      <rPr>
        <rFont val="arial"/>
        <color rgb="FF1155CC"/>
        <u/>
      </rPr>
      <t>CARLOS MORENO VEGA</t>
    </r>
  </si>
  <si>
    <r>
      <rPr>
        <rFont val="arial"/>
        <color rgb="FF1155CC"/>
        <u/>
      </rPr>
      <t>Aaron Figueroa</t>
    </r>
  </si>
  <si>
    <t>18fr12670</t>
  </si>
  <si>
    <t>Jessier Marc</t>
  </si>
  <si>
    <r>
      <rPr>
        <rFont val="arial"/>
        <color rgb="FF1155CC"/>
        <u/>
      </rPr>
      <t>FELIX RAFAEL FALLABELLA</t>
    </r>
  </si>
  <si>
    <r>
      <rPr>
        <rFont val="arial"/>
        <color rgb="FF1155CC"/>
        <u/>
      </rPr>
      <t>Edgar Javier Huertas Vasquez</t>
    </r>
  </si>
  <si>
    <t>3-716-2443</t>
  </si>
  <si>
    <t>Rogelio Hijo Revello Carranza</t>
  </si>
  <si>
    <r>
      <rPr>
        <rFont val="arial"/>
        <color rgb="FF1155CC"/>
        <u/>
      </rPr>
      <t>FELIX RAFAEL FALLABELLA</t>
    </r>
  </si>
  <si>
    <r>
      <rPr>
        <rFont val="arial"/>
        <color rgb="FF1155CC"/>
        <u/>
      </rPr>
      <t>Alexander De Gracia</t>
    </r>
  </si>
  <si>
    <t>Simon Chocron</t>
  </si>
  <si>
    <r>
      <rPr>
        <rFont val="arial"/>
        <color rgb="FF1155CC"/>
        <u/>
      </rPr>
      <t>Jose Raul Mulino Cohen</t>
    </r>
  </si>
  <si>
    <r>
      <rPr>
        <rFont val="arial"/>
        <color rgb="FF1155CC"/>
        <u/>
      </rPr>
      <t>Gabriel De Janon</t>
    </r>
  </si>
  <si>
    <t>21/06/2024</t>
  </si>
  <si>
    <t>Raul DE GRACIA SARACENI</t>
  </si>
  <si>
    <r>
      <rPr>
        <rFont val="arial"/>
        <color rgb="FF1155CC"/>
        <u/>
      </rPr>
      <t>Jose Raul Mulino Cohen</t>
    </r>
  </si>
  <si>
    <r>
      <rPr>
        <rFont val="arial"/>
        <color rgb="FF1155CC"/>
        <u/>
      </rPr>
      <t>SAJID DAYAN Bhiku</t>
    </r>
  </si>
  <si>
    <t>24/06/2024</t>
  </si>
  <si>
    <t>Andres Tovar</t>
  </si>
  <si>
    <r>
      <rPr>
        <rFont val="arial"/>
        <color rgb="FF1155CC"/>
        <u/>
      </rPr>
      <t>SAJID DAYAN Bhiku</t>
    </r>
  </si>
  <si>
    <r>
      <rPr>
        <rFont val="arial"/>
        <color rgb="FF1155CC"/>
        <u/>
      </rPr>
      <t>Daniel Hidrie Somoj</t>
    </r>
  </si>
  <si>
    <t>16/05/2024</t>
  </si>
  <si>
    <t>Fidel Asprilla</t>
  </si>
  <si>
    <r>
      <rPr>
        <rFont val="arial"/>
        <color rgb="FF1155CC"/>
        <u/>
      </rPr>
      <t>CARLOS ERNESTO MOLINA HONDAL</t>
    </r>
  </si>
  <si>
    <t>18/06/2024</t>
  </si>
  <si>
    <r>
      <rPr>
        <rFont val="arial"/>
        <color rgb="FF1155CC"/>
        <u/>
      </rPr>
      <t>Celso Jose Cordoba Moreno</t>
    </r>
  </si>
  <si>
    <t>Yosimar Reyes Acevedo</t>
  </si>
  <si>
    <r>
      <rPr>
        <rFont val="arial"/>
        <color rgb="FF1155CC"/>
        <u/>
      </rPr>
      <t>Celso Jose Cordoba Moreno</t>
    </r>
  </si>
  <si>
    <t>22/05/2024</t>
  </si>
  <si>
    <t>Rogelio Revello</t>
  </si>
  <si>
    <r>
      <rPr>
        <rFont val="arial"/>
        <color rgb="FF1155CC"/>
        <u/>
      </rPr>
      <t>CELSO HIJO CORDOBA</t>
    </r>
  </si>
  <si>
    <t>PANAMA Iniciales R.R.R puño</t>
  </si>
  <si>
    <t>Janson Pier</t>
  </si>
  <si>
    <r>
      <rPr>
        <rFont val="arial"/>
        <color rgb="FF1155CC"/>
        <u/>
      </rPr>
      <t>CELSO HIJO CORDOBA</t>
    </r>
  </si>
  <si>
    <r>
      <rPr>
        <rFont val="arial"/>
        <color rgb="FF1155CC"/>
        <u/>
      </rPr>
      <t>Augusto Salguera</t>
    </r>
  </si>
  <si>
    <r>
      <rPr>
        <rFont val="arial"/>
        <color rgb="FF1155CC"/>
        <u/>
      </rPr>
      <t>Edilberto Moreno</t>
    </r>
  </si>
  <si>
    <t>Juan Camilo Forero</t>
  </si>
  <si>
    <t>cll 80 a 152 # 72 - 35</t>
  </si>
  <si>
    <r>
      <rPr>
        <rFont val="arial"/>
        <color rgb="FF1155CC"/>
        <u/>
      </rPr>
      <t>Edilberto Moreno</t>
    </r>
  </si>
  <si>
    <r>
      <rPr>
        <rFont val="arial"/>
        <color rgb="FF1155CC"/>
        <u/>
      </rPr>
      <t>CARLOS ERNESTO MOLINA HONDAL</t>
    </r>
  </si>
  <si>
    <t>Juan Carlos Cubides Medina</t>
  </si>
  <si>
    <r>
      <rPr>
        <rFont val="arial"/>
        <color rgb="FF1155CC"/>
        <u/>
      </rPr>
      <t>CARLOS ERNESTO MOLINA HONDAL</t>
    </r>
  </si>
  <si>
    <r>
      <rPr>
        <rFont val="arial"/>
        <color rgb="FF1155CC"/>
        <u/>
      </rPr>
      <t>Roberto Anibal Benavidez Castillo</t>
    </r>
  </si>
  <si>
    <t>Arnulfo Barragan Alaarcon</t>
  </si>
  <si>
    <r>
      <rPr>
        <rFont val="arial"/>
        <color rgb="FF1155CC"/>
        <u/>
      </rPr>
      <t>ROGER TEJADA</t>
    </r>
  </si>
  <si>
    <r>
      <rPr>
        <rFont val="arial"/>
        <color rgb="FF1155CC"/>
        <u/>
      </rPr>
      <t>Daniel Hidrie Somoj</t>
    </r>
  </si>
  <si>
    <t>Santiago Barragan Mosquera</t>
  </si>
  <si>
    <r>
      <rPr>
        <rFont val="arial"/>
        <color rgb="FF1155CC"/>
        <u/>
      </rPr>
      <t>JOSE ANTONIO SEGOVIA HORMECHEQ</t>
    </r>
  </si>
  <si>
    <t>Nestor Omar Martinez Melo</t>
  </si>
  <si>
    <t>tabio cundinamarca</t>
  </si>
  <si>
    <r>
      <rPr>
        <rFont val="arial"/>
        <color rgb="FF1155CC"/>
        <u/>
      </rPr>
      <t>GILBERTO AROSEMENA</t>
    </r>
  </si>
  <si>
    <t>9-719-2349</t>
  </si>
  <si>
    <t>Leo Ovadia</t>
  </si>
  <si>
    <r>
      <rPr>
        <rFont val="arial"/>
        <color rgb="FF1155CC"/>
        <u/>
      </rPr>
      <t>ADOLFO VILLA</t>
    </r>
  </si>
  <si>
    <r>
      <rPr>
        <rFont val="arial"/>
        <color rgb="FF1155CC"/>
        <u/>
      </rPr>
      <t>LEO ARJONA</t>
    </r>
  </si>
  <si>
    <r>
      <rPr>
        <rFont val="arial"/>
        <color rgb="FF1155CC"/>
        <u/>
      </rPr>
      <t>MANUEL MORENO</t>
    </r>
  </si>
  <si>
    <t>8-813-1934</t>
  </si>
  <si>
    <t>Jose De La Espriella</t>
  </si>
  <si>
    <r>
      <rPr>
        <rFont val="arial"/>
        <color rgb="FF1155CC"/>
        <u/>
      </rPr>
      <t>FRANK ALEXIS ABREGO</t>
    </r>
  </si>
  <si>
    <r>
      <rPr>
        <rFont val="arial"/>
        <color rgb="FF1155CC"/>
        <u/>
      </rPr>
      <t>FELIX RAFAEL FALLABELLA</t>
    </r>
  </si>
  <si>
    <t>E8181034</t>
  </si>
  <si>
    <t>Ofek Cohen</t>
  </si>
  <si>
    <r>
      <rPr>
        <rFont val="arial"/>
        <color rgb="FF1155CC"/>
        <u/>
      </rPr>
      <t>ETAN NARKIS</t>
    </r>
  </si>
  <si>
    <t>Fernando Correa Diaz</t>
  </si>
  <si>
    <r>
      <rPr>
        <rFont val="arial"/>
        <color rgb="FF1155CC"/>
        <u/>
      </rPr>
      <t>ETAN NARKIS</t>
    </r>
  </si>
  <si>
    <r>
      <rPr>
        <rFont val="arial"/>
        <color rgb="FF1155CC"/>
        <u/>
      </rPr>
      <t>JOSE DAVID CARRILLO GARIBELLO</t>
    </r>
  </si>
  <si>
    <t>Nir Cohen</t>
  </si>
  <si>
    <r>
      <rPr>
        <rFont val="arial"/>
        <color rgb="FF1155CC"/>
        <u/>
      </rPr>
      <t>PAUL VERA</t>
    </r>
  </si>
  <si>
    <t>Jacob Kogmen</t>
  </si>
  <si>
    <r>
      <rPr>
        <rFont val="arial"/>
        <color rgb="FF1155CC"/>
        <u/>
      </rPr>
      <t>PAUL VERA</t>
    </r>
  </si>
  <si>
    <r>
      <rPr>
        <rFont val="arial"/>
        <color rgb="FF1155CC"/>
        <u/>
      </rPr>
      <t>Juan David Avellaneda Avila</t>
    </r>
  </si>
  <si>
    <t>9-721-1023</t>
  </si>
  <si>
    <t>Gianfranco Melillo</t>
  </si>
  <si>
    <r>
      <rPr>
        <rFont val="arial"/>
        <color rgb="FF1155CC"/>
        <u/>
      </rPr>
      <t>Pedro Junior Cruz Gomez</t>
    </r>
  </si>
  <si>
    <r>
      <rPr>
        <rFont val="arial"/>
        <color rgb="FF1155CC"/>
        <u/>
      </rPr>
      <t>Pedro Junior Cruz Gomez</t>
    </r>
  </si>
  <si>
    <t>4-737-1341</t>
  </si>
  <si>
    <t>Jose Nelson Rodriguez Peña</t>
  </si>
  <si>
    <r>
      <rPr>
        <rFont val="arial"/>
        <color rgb="FF1155CC"/>
        <u/>
      </rPr>
      <t>Pedro Junior Cruz Gomez</t>
    </r>
  </si>
  <si>
    <r>
      <rPr>
        <rFont val="arial"/>
        <color rgb="FF1155CC"/>
        <u/>
      </rPr>
      <t>JUAN ERNESTO SOTO</t>
    </r>
  </si>
  <si>
    <t>8-831-1578</t>
  </si>
  <si>
    <t>Juan Diego Quintero Candanedo</t>
  </si>
  <si>
    <r>
      <rPr>
        <rFont val="arial"/>
        <color rgb="FF1155CC"/>
        <u/>
      </rPr>
      <t>Rogelio Revello</t>
    </r>
  </si>
  <si>
    <t>8-294-284</t>
  </si>
  <si>
    <t>Isaac Ricardo Wolfschoor</t>
  </si>
  <si>
    <r>
      <rPr>
        <rFont val="arial"/>
        <color rgb="FF1155CC"/>
        <u/>
      </rPr>
      <t>Rogelio Revello</t>
    </r>
  </si>
  <si>
    <t>3-730-1191</t>
  </si>
  <si>
    <t>Saul Villareal</t>
  </si>
  <si>
    <r>
      <rPr>
        <rFont val="arial"/>
        <color rgb="FF1155CC"/>
        <u/>
      </rPr>
      <t>MANUEL MORENO</t>
    </r>
  </si>
  <si>
    <r>
      <rPr>
        <rFont val="arial"/>
        <color rgb="FF1155CC"/>
        <u/>
      </rPr>
      <t>MANUEL MORENO</t>
    </r>
  </si>
  <si>
    <t>8-807-1350</t>
  </si>
  <si>
    <t>Kinkead Roger</t>
  </si>
  <si>
    <r>
      <rPr>
        <rFont val="arial"/>
        <color rgb="FF1155CC"/>
        <u/>
      </rPr>
      <t>MANUEL MORENO</t>
    </r>
  </si>
  <si>
    <r>
      <rPr>
        <rFont val="arial"/>
        <color rgb="FF1155CC"/>
        <u/>
      </rPr>
      <t>Karlos Bustamante</t>
    </r>
  </si>
  <si>
    <t>8-741-1943</t>
  </si>
  <si>
    <t>Juan Carlos Aispurúa</t>
  </si>
  <si>
    <r>
      <rPr>
        <rFont val="arial"/>
        <color rgb="FF1155CC"/>
        <u/>
      </rPr>
      <t>SAJID DAYAN Bhiku</t>
    </r>
  </si>
  <si>
    <r>
      <rPr>
        <rFont val="arial"/>
        <color rgb="FF1155CC"/>
        <u/>
      </rPr>
      <t>CAMILO MURIEL</t>
    </r>
  </si>
  <si>
    <t>Diego Luis Cardona Lombana</t>
  </si>
  <si>
    <r>
      <rPr>
        <rFont val="arial"/>
        <color rgb="FF1155CC"/>
        <u/>
      </rPr>
      <t>JULIO MOLTO</t>
    </r>
  </si>
  <si>
    <t>Ruben Gonzalez</t>
  </si>
  <si>
    <r>
      <rPr>
        <rFont val="arial"/>
        <color rgb="FF1155CC"/>
        <u/>
      </rPr>
      <t>JUAN CARLOS RODRIGUEZ BERNAL</t>
    </r>
  </si>
  <si>
    <t>Edgar hijo zachcritson</t>
  </si>
  <si>
    <r>
      <rPr>
        <rFont val="arial"/>
        <color rgb="FF1155CC"/>
        <u/>
      </rPr>
      <t>JUAN CARLOS RODRIGUEZ BERNAL</t>
    </r>
  </si>
  <si>
    <r>
      <rPr>
        <rFont val="arial"/>
        <color rgb="FF1155CC"/>
        <u/>
      </rPr>
      <t>JUAN CARLOS RODRIGUEZ BERNAL</t>
    </r>
  </si>
  <si>
    <t>3-731-2200</t>
  </si>
  <si>
    <t>Budhrani Viren</t>
  </si>
  <si>
    <t>Panamá</t>
  </si>
  <si>
    <r>
      <rPr>
        <rFont val="arial"/>
        <color rgb="FF1155CC"/>
        <u/>
      </rPr>
      <t>JUAN CARLOS RODRIGUEZ BERNAL</t>
    </r>
  </si>
  <si>
    <r>
      <rPr>
        <rFont val="arial"/>
        <color rgb="FF1155CC"/>
        <u/>
      </rPr>
      <t>Claudio Henrique De Silva</t>
    </r>
  </si>
  <si>
    <t>PI6934592</t>
  </si>
  <si>
    <t>Sharon Rajesh Scdhueni</t>
  </si>
  <si>
    <r>
      <rPr>
        <rFont val="arial"/>
        <color rgb="FF1155CC"/>
        <u/>
      </rPr>
      <t>Claudio Henrique De Silva</t>
    </r>
  </si>
  <si>
    <t>Juan Vargas</t>
  </si>
  <si>
    <t>Costa Rica</t>
  </si>
  <si>
    <r>
      <rPr>
        <rFont val="arial"/>
        <color rgb="FF1155CC"/>
        <u/>
      </rPr>
      <t>RODRIGO CHANIS</t>
    </r>
  </si>
  <si>
    <t>Guillermo Vargas</t>
  </si>
  <si>
    <r>
      <rPr>
        <rFont val="arial"/>
        <color rgb="FF1155CC"/>
        <u/>
      </rPr>
      <t>CELSO HIJO CORDOBA</t>
    </r>
  </si>
  <si>
    <r>
      <rPr>
        <rFont val="arial"/>
        <color rgb="FF1155CC"/>
        <u/>
      </rPr>
      <t>Augusto Salguera</t>
    </r>
  </si>
  <si>
    <t>9-169-147</t>
  </si>
  <si>
    <t>Justo Jose Catilla</t>
  </si>
  <si>
    <t>justocastilla@me.com</t>
  </si>
  <si>
    <r>
      <rPr>
        <rFont val="arial"/>
        <color rgb="FF1155CC"/>
        <u/>
      </rPr>
      <t>Benigno Jose Salas Olmos</t>
    </r>
  </si>
  <si>
    <t>8-1029-242</t>
  </si>
  <si>
    <t>Armaan Tolani</t>
  </si>
  <si>
    <r>
      <rPr>
        <rFont val="arial"/>
        <color rgb="FF1155CC"/>
        <u/>
      </rPr>
      <t>Roberto Anibal Benavidez Castillo</t>
    </r>
  </si>
  <si>
    <t>armaantolani@gmail.com</t>
  </si>
  <si>
    <t>Zona Libre ( Panamá)</t>
  </si>
  <si>
    <r>
      <rPr>
        <rFont val="arial"/>
        <color rgb="FF1155CC"/>
        <u/>
      </rPr>
      <t>Roddy Alberto Gonzalez</t>
    </r>
  </si>
  <si>
    <t>E-8-180690</t>
  </si>
  <si>
    <t>Rafael Oliveira</t>
  </si>
  <si>
    <r>
      <rPr>
        <rFont val="arial"/>
        <color rgb="FF1155CC"/>
        <u/>
      </rPr>
      <t>Dario Martinez</t>
    </r>
  </si>
  <si>
    <t>rafael@rykprivate.com</t>
  </si>
  <si>
    <t>La Fontana 198 ( Panamá)</t>
  </si>
  <si>
    <r>
      <rPr>
        <rFont val="arial"/>
        <color rgb="FF1155CC"/>
        <u/>
      </rPr>
      <t>Dario Martinez</t>
    </r>
  </si>
  <si>
    <r>
      <rPr>
        <rFont val="arial"/>
        <color rgb="FF1155CC"/>
        <u/>
      </rPr>
      <t>Dario Martinez</t>
    </r>
  </si>
  <si>
    <t>8-841-174</t>
  </si>
  <si>
    <t>Alexander Yu</t>
  </si>
  <si>
    <r>
      <rPr>
        <rFont val="arial"/>
        <color rgb="FF1155CC"/>
        <u/>
      </rPr>
      <t>JULIO MOLTO</t>
    </r>
  </si>
  <si>
    <t>4-157-751</t>
  </si>
  <si>
    <t>Luis Alfonso Guerra Morales</t>
  </si>
  <si>
    <r>
      <rPr>
        <rFont val="arial"/>
        <color rgb="FF1155CC"/>
        <u/>
      </rPr>
      <t>FELIX RAFAEL FALLABELLA</t>
    </r>
  </si>
  <si>
    <t>Tribunal Electoral ( Panamá)</t>
  </si>
  <si>
    <r>
      <rPr>
        <rFont val="arial"/>
        <color rgb="FF1155CC"/>
        <u/>
      </rPr>
      <t>FELIX RAFAEL FALLABELLA</t>
    </r>
  </si>
  <si>
    <t>E-8-657658</t>
  </si>
  <si>
    <t>Mahesh Budhrani</t>
  </si>
  <si>
    <r>
      <rPr>
        <rFont val="arial"/>
        <color rgb="FF1155CC"/>
        <u/>
      </rPr>
      <t>Felipe Batista Acosta</t>
    </r>
  </si>
  <si>
    <r>
      <rPr>
        <rFont val="arial"/>
        <color rgb="FF1155CC"/>
        <u/>
      </rPr>
      <t>Felipe Batista Acosta</t>
    </r>
  </si>
  <si>
    <t>2-719-477</t>
  </si>
  <si>
    <t>Rigoberto Quezada</t>
  </si>
  <si>
    <r>
      <rPr>
        <rFont val="arial"/>
        <color rgb="FF1155CC"/>
        <u/>
      </rPr>
      <t>Felipe Batista Acosta</t>
    </r>
  </si>
  <si>
    <t>rquezada9477@gmail.com</t>
  </si>
  <si>
    <t>Via Brasil /405 ( Panamá)</t>
  </si>
  <si>
    <r>
      <rPr>
        <rFont val="arial"/>
        <color rgb="FF1155CC"/>
        <u/>
      </rPr>
      <t>Felipe Batista Acosta</t>
    </r>
  </si>
  <si>
    <r>
      <rPr>
        <rFont val="arial"/>
        <color rgb="FF1155CC"/>
        <u/>
      </rPr>
      <t>Felipe Batista Acosta</t>
    </r>
  </si>
  <si>
    <t>PE-8-2253</t>
  </si>
  <si>
    <t>Juan Kuan Guerrero</t>
  </si>
  <si>
    <t>jkuangue@hotmail.com</t>
  </si>
  <si>
    <r>
      <rPr>
        <rFont val="arial"/>
        <color rgb="FF1155CC"/>
        <u/>
      </rPr>
      <t>Dario Martinez</t>
    </r>
  </si>
  <si>
    <r>
      <rPr>
        <rFont val="arial"/>
        <color rgb="FF1155CC"/>
        <u/>
      </rPr>
      <t>Giovanny Prieto Angulo</t>
    </r>
  </si>
  <si>
    <t>8-856572</t>
  </si>
  <si>
    <t>Edderson Green Muñoz</t>
  </si>
  <si>
    <t>egreen.legal@gmail.com</t>
  </si>
  <si>
    <r>
      <rPr>
        <rFont val="arial"/>
        <color rgb="FF1155CC"/>
        <u/>
      </rPr>
      <t>Giovanny Prieto Angulo</t>
    </r>
  </si>
  <si>
    <r>
      <rPr>
        <rFont val="arial"/>
        <color rgb="FF1155CC"/>
        <u/>
      </rPr>
      <t>Giovanny Prieto Angulo</t>
    </r>
  </si>
  <si>
    <t>Jose Galindez</t>
  </si>
  <si>
    <r>
      <rPr>
        <rFont val="arial"/>
        <color rgb="FF1155CC"/>
        <u/>
      </rPr>
      <t>Danilo Mosquera Ramirez</t>
    </r>
  </si>
  <si>
    <t>kenneth Espinosa</t>
  </si>
  <si>
    <r>
      <rPr>
        <rFont val="arial"/>
        <color rgb="FF1155CC"/>
        <u/>
      </rPr>
      <t>Ramon Zafrani</t>
    </r>
  </si>
  <si>
    <t>Mi Bus</t>
  </si>
  <si>
    <r>
      <rPr>
        <rFont val="arial"/>
        <color rgb="FF1155CC"/>
        <u/>
      </rPr>
      <t>Jessier Marc</t>
    </r>
  </si>
  <si>
    <t>Luis Fernando Gonzalez</t>
  </si>
  <si>
    <t>313 8384625</t>
  </si>
  <si>
    <t>Calle 55 # 14 - 47 Apto 1010</t>
  </si>
  <si>
    <r>
      <rPr>
        <rFont val="arial"/>
        <color rgb="FF1155CC"/>
        <u/>
      </rPr>
      <t>Luis Alfonso Guerra Morales</t>
    </r>
  </si>
  <si>
    <t>Carlos Javier Mitre</t>
  </si>
  <si>
    <t>carlos.jav08@hotmail.com</t>
  </si>
  <si>
    <t>Crisol Panamá</t>
  </si>
  <si>
    <r>
      <rPr>
        <rFont val="arial"/>
        <color rgb="FF1155CC"/>
        <u/>
      </rPr>
      <t>Luis Alfonso Guerra Morales</t>
    </r>
  </si>
  <si>
    <t>Robinson Molina</t>
  </si>
  <si>
    <r>
      <rPr>
        <rFont val="arial"/>
        <color rgb="FF1155CC"/>
        <u/>
      </rPr>
      <t>Daniel Hidrie Somoj</t>
    </r>
  </si>
  <si>
    <t>Calle 134 # 11 - 48</t>
  </si>
  <si>
    <r>
      <rPr>
        <rFont val="arial"/>
        <color rgb="FF1155CC"/>
        <u/>
      </rPr>
      <t>Juan Carlos Rodriguez Rangel</t>
    </r>
  </si>
  <si>
    <t>Paulo Cesar Mina</t>
  </si>
  <si>
    <t>315 3109074</t>
  </si>
  <si>
    <t>pcmina@hotmail.com</t>
  </si>
  <si>
    <t>Cra 4 # 59- 01</t>
  </si>
  <si>
    <r>
      <rPr>
        <rFont val="arial"/>
        <color rgb="FF1155CC"/>
        <u/>
      </rPr>
      <t>Juan Carlos Rodriguez Rangel</t>
    </r>
  </si>
  <si>
    <r>
      <rPr>
        <rFont val="arial"/>
        <color rgb="FF1155CC"/>
        <u/>
      </rPr>
      <t>Juan Carlos Rodriguez Rangel</t>
    </r>
  </si>
  <si>
    <t>Alejandro Linares</t>
  </si>
  <si>
    <t>320 2292928</t>
  </si>
  <si>
    <r>
      <rPr>
        <rFont val="arial"/>
        <color rgb="FF1155CC"/>
        <u/>
      </rPr>
      <t>JAIME FERNANDEZ POLICIA</t>
    </r>
  </si>
  <si>
    <r>
      <rPr>
        <rFont val="arial"/>
        <color rgb="FF1155CC"/>
        <u/>
      </rPr>
      <t>Joseph Pieck</t>
    </r>
  </si>
  <si>
    <t>Mauricio Rosillo</t>
  </si>
  <si>
    <t>311 2172882</t>
  </si>
  <si>
    <t>mauriciorosillo@gmail.com</t>
  </si>
  <si>
    <t>Carrera 7 bis # 96 - 65</t>
  </si>
  <si>
    <r>
      <rPr>
        <rFont val="arial"/>
        <color rgb="FF1155CC"/>
        <u/>
      </rPr>
      <t>JORGE RICARDO BRATHWAITE WILLIAMS</t>
    </r>
  </si>
  <si>
    <t>Rafael Mizrachi</t>
  </si>
  <si>
    <r>
      <rPr>
        <rFont val="arial"/>
        <color rgb="FF1155CC"/>
        <u/>
      </rPr>
      <t>Jose Nelson Rodriguez Peña</t>
    </r>
  </si>
  <si>
    <t>Werner Claes</t>
  </si>
  <si>
    <t>322 9037926</t>
  </si>
  <si>
    <r>
      <rPr>
        <rFont val="arial"/>
        <color rgb="FF1155CC"/>
        <u/>
      </rPr>
      <t>REFAEL VILLAREAL HIJO</t>
    </r>
  </si>
  <si>
    <t>Calle 76 # 8 - 56</t>
  </si>
  <si>
    <t>Kristofer Wennin</t>
  </si>
  <si>
    <t>300 7010203</t>
  </si>
  <si>
    <r>
      <rPr>
        <rFont val="arial"/>
        <color rgb="FF1155CC"/>
        <u/>
      </rPr>
      <t>RAFAEL VILLAREAL PAPA</t>
    </r>
  </si>
  <si>
    <t>Jesus David Martinez Cantillo</t>
  </si>
  <si>
    <t>jesusdavidmartinezcantillo@gmail.com</t>
  </si>
  <si>
    <t>Trav 3c # 55 - 07</t>
  </si>
  <si>
    <r>
      <rPr>
        <rFont val="arial"/>
        <color rgb="FF1155CC"/>
        <u/>
      </rPr>
      <t>JUAN ERNESTO SOTO</t>
    </r>
  </si>
  <si>
    <r>
      <rPr>
        <rFont val="arial"/>
        <color rgb="FF1155CC"/>
        <u/>
      </rPr>
      <t>JUAN ERNESTO SOTO</t>
    </r>
  </si>
  <si>
    <t>Luis Gabriel Marín</t>
  </si>
  <si>
    <t>lugamarin@hotmail.com</t>
  </si>
  <si>
    <t>Calle 96 # 69b - 75</t>
  </si>
  <si>
    <r>
      <rPr>
        <rFont val="arial"/>
        <color rgb="FF1155CC"/>
        <u/>
      </rPr>
      <t>Eduardo Andres villarreal</t>
    </r>
  </si>
  <si>
    <t>80. 256. 812</t>
  </si>
  <si>
    <t>Guillermo Chavarro</t>
  </si>
  <si>
    <t>313 4247185</t>
  </si>
  <si>
    <t>guillermo.a.chavarro@gmail.com</t>
  </si>
  <si>
    <t>Carrera 7 # 150 - 33 Apto 506 A</t>
  </si>
  <si>
    <r>
      <rPr>
        <rFont val="arial"/>
        <color rgb="FF1155CC"/>
        <u/>
      </rPr>
      <t>RICARDO ANTONIO GRIFFITH CHAVEZ</t>
    </r>
  </si>
  <si>
    <t>Alejandro Chavarro Ricaurte</t>
  </si>
  <si>
    <r>
      <rPr>
        <rFont val="arial"/>
        <color rgb="FF1155CC"/>
        <u/>
      </rPr>
      <t>EDGAR CASTILLO D.H.L</t>
    </r>
  </si>
  <si>
    <t>Carrera 7 # 150 - 33 A pto.506A</t>
  </si>
  <si>
    <t>79. 446. 693</t>
  </si>
  <si>
    <t>Omar Farut Pedraza Gomez</t>
  </si>
  <si>
    <t>316 7053563</t>
  </si>
  <si>
    <r>
      <rPr>
        <rFont val="arial"/>
        <color rgb="FF1155CC"/>
        <u/>
      </rPr>
      <t>Edgar hijo zachcritson</t>
    </r>
  </si>
  <si>
    <t>Johan Sebastian Lazo Hernandez</t>
  </si>
  <si>
    <r>
      <rPr>
        <rFont val="arial"/>
        <color rgb="FF1155CC"/>
        <u/>
      </rPr>
      <t>Saul Villareal</t>
    </r>
  </si>
  <si>
    <t>300 5080079</t>
  </si>
  <si>
    <t>Carrera 114 # 148 - 65</t>
  </si>
  <si>
    <t>80. 054.941</t>
  </si>
  <si>
    <t>Leonardo Lopez Amortegui</t>
  </si>
  <si>
    <t>320 3802936</t>
  </si>
  <si>
    <r>
      <rPr>
        <rFont val="arial"/>
        <color rgb="FF1155CC"/>
        <u/>
      </rPr>
      <t>ISAAC HENRY HARRARI</t>
    </r>
  </si>
  <si>
    <t>leloamo@gmail.com</t>
  </si>
  <si>
    <t>Tranv 120 # 78B -87</t>
  </si>
  <si>
    <t>Oscar Andres Casas Gomez</t>
  </si>
  <si>
    <t>Calle 26 # 40 - 31</t>
  </si>
  <si>
    <r>
      <rPr>
        <rFont val="arial"/>
        <color rgb="FF1155CC"/>
        <u/>
      </rPr>
      <t>Karlos Bustamante</t>
    </r>
  </si>
  <si>
    <r>
      <rPr>
        <rFont val="arial"/>
        <color rgb="FF1155CC"/>
        <u/>
      </rPr>
      <t>Alexander De Gracia</t>
    </r>
  </si>
  <si>
    <t>Diego Alejandro Castro Salazar</t>
  </si>
  <si>
    <t>da.cs91@hotmail.com</t>
  </si>
  <si>
    <t>Karrera 104 A # 72 A -46</t>
  </si>
  <si>
    <r>
      <rPr>
        <rFont val="arial"/>
        <color rgb="FF1155CC"/>
        <u/>
      </rPr>
      <t>Alexander De Gracia</t>
    </r>
  </si>
  <si>
    <r>
      <rPr>
        <rFont val="arial"/>
        <color rgb="FF1155CC"/>
        <u/>
      </rPr>
      <t>Dario Martinez</t>
    </r>
  </si>
  <si>
    <t>Alexander Cendales Castro</t>
  </si>
  <si>
    <t>310 5615015</t>
  </si>
  <si>
    <t>N/A</t>
  </si>
  <si>
    <t>Cra 2 Este # 2 - 18 Mosquera</t>
  </si>
  <si>
    <r>
      <rPr>
        <rFont val="arial"/>
        <color rgb="FF1155CC"/>
        <u/>
      </rPr>
      <t>Fernando Espino</t>
    </r>
  </si>
  <si>
    <t>Angela Cifuentes</t>
  </si>
  <si>
    <t>312 3230093|</t>
  </si>
  <si>
    <t>angelita06872@gmail.com</t>
  </si>
  <si>
    <t>Calle 6 # 102 - 85</t>
  </si>
  <si>
    <r>
      <rPr>
        <rFont val="arial"/>
        <color rgb="FF1155CC"/>
        <u/>
      </rPr>
      <t>JULIO MOLTO</t>
    </r>
  </si>
  <si>
    <r>
      <rPr>
        <rFont val="arial"/>
        <color rgb="FF1155CC"/>
        <u/>
      </rPr>
      <t>JULIO MOLTO</t>
    </r>
  </si>
  <si>
    <t>Luis Hernan Castellanos Garcia</t>
  </si>
  <si>
    <t>312 3620519</t>
  </si>
  <si>
    <t>castellanosg.hernan@gmail.com</t>
  </si>
  <si>
    <t>Cra 82 # 19 - 20 Casa 133</t>
  </si>
  <si>
    <r>
      <rPr>
        <rFont val="arial"/>
        <color rgb="FF1155CC"/>
        <u/>
      </rPr>
      <t>JUAN CARLOS RODRIGUEZ BERNAL</t>
    </r>
  </si>
  <si>
    <r>
      <rPr>
        <rFont val="arial"/>
        <color rgb="FF1155CC"/>
        <u/>
      </rPr>
      <t>MANUEL MORENO</t>
    </r>
  </si>
  <si>
    <t>Nelson Julian Cruz Gomez</t>
  </si>
  <si>
    <t>312 4572976</t>
  </si>
  <si>
    <t>nelsonjuliancruzgomez@hotmail.com</t>
  </si>
  <si>
    <t>Carrera 13 # 27 - 98 To. B Apto 1901</t>
  </si>
  <si>
    <r>
      <rPr>
        <rFont val="arial"/>
        <color rgb="FF1155CC"/>
        <u/>
      </rPr>
      <t>JUAN CARLOS ORILLAC URRUTIA</t>
    </r>
  </si>
  <si>
    <t>79 258360</t>
  </si>
  <si>
    <t>Alfonso Castro Rodriguez</t>
  </si>
  <si>
    <r>
      <rPr>
        <rFont val="arial"/>
        <color rgb="FF1155CC"/>
        <u/>
      </rPr>
      <t>JUAN CARLOS ORILLAC URRUTIA</t>
    </r>
  </si>
  <si>
    <t>315 8866520</t>
  </si>
  <si>
    <r>
      <rPr>
        <rFont val="arial"/>
        <color rgb="FF1155CC"/>
        <u/>
      </rPr>
      <t>JUAN CARLOS ORILLAC URRUTIA</t>
    </r>
  </si>
  <si>
    <t>Ivan Andres Cediel Carrillo</t>
  </si>
  <si>
    <r>
      <rPr>
        <rFont val="arial"/>
        <color rgb="FF1155CC"/>
        <u/>
      </rPr>
      <t>DARIO MORENO</t>
    </r>
  </si>
  <si>
    <t>317 6584085</t>
  </si>
  <si>
    <t>ivancediel@gmail.com</t>
  </si>
  <si>
    <t>Calle 137a # 58 -70 To. 01 - Apto 704</t>
  </si>
  <si>
    <t>Andres Castro</t>
  </si>
  <si>
    <t>315 2056848</t>
  </si>
  <si>
    <r>
      <rPr>
        <rFont val="arial"/>
        <color rgb="FF1155CC"/>
        <u/>
      </rPr>
      <t>FELIX HIJO FALLABELLA</t>
    </r>
  </si>
  <si>
    <t>Calle 124 # 57-45</t>
  </si>
  <si>
    <r>
      <rPr>
        <rFont val="arial"/>
        <color rgb="FF1155CC"/>
        <u/>
      </rPr>
      <t>FELIX HIJO FALLABELLA</t>
    </r>
  </si>
  <si>
    <t>Leonardo Cardenas Cajamarca</t>
  </si>
  <si>
    <t>310 2324734</t>
  </si>
  <si>
    <t>Carrera 112f # 72C -03</t>
  </si>
  <si>
    <r>
      <rPr>
        <rFont val="arial"/>
        <color rgb="FF1155CC"/>
        <u/>
      </rPr>
      <t>LUIS FELIPE ICAZA F</t>
    </r>
  </si>
  <si>
    <t>Diego Fernando Salamanca Ruiz</t>
  </si>
  <si>
    <t>314 4498063</t>
  </si>
  <si>
    <t>diegofer_salamanca@hotmail.com</t>
  </si>
  <si>
    <t>Av. Calle 127 # 51a 45 apto. 301</t>
  </si>
  <si>
    <r>
      <rPr>
        <rFont val="arial"/>
        <color rgb="FF1155CC"/>
        <u/>
      </rPr>
      <t>FELIX RAFAEL FALLABELLA</t>
    </r>
  </si>
  <si>
    <r>
      <rPr>
        <rFont val="arial"/>
        <color rgb="FF1155CC"/>
        <u/>
      </rPr>
      <t>FELIX RAFAEL FALLABELLA</t>
    </r>
  </si>
  <si>
    <r>
      <rPr>
        <rFont val="arial"/>
        <color rgb="FF1155CC"/>
        <u/>
      </rPr>
      <t>FELIX RAFAEL FALLABELLA</t>
    </r>
  </si>
  <si>
    <t>Carlos Andres Salazar Sanchez</t>
  </si>
  <si>
    <t>322 9448799</t>
  </si>
  <si>
    <t>carlossala999@hotmail.com</t>
  </si>
  <si>
    <t>Carrara 19 A # 107 - 81</t>
  </si>
  <si>
    <r>
      <rPr>
        <rFont val="arial"/>
        <color rgb="FF1155CC"/>
        <u/>
      </rPr>
      <t>FELIX RAFAEL FALLABELLA</t>
    </r>
  </si>
  <si>
    <t>Mary Alejandra Galeano Abello</t>
  </si>
  <si>
    <t>316 0777796</t>
  </si>
  <si>
    <t>aleja24galeano@gmail.com</t>
  </si>
  <si>
    <t>Trv 72a # 24 - 72</t>
  </si>
  <si>
    <r>
      <rPr>
        <rFont val="arial"/>
        <color rgb="FF1155CC"/>
        <u/>
      </rPr>
      <t>FRANK ALEXIS ABREGO</t>
    </r>
  </si>
  <si>
    <r>
      <rPr>
        <rFont val="arial"/>
        <color rgb="FF1155CC"/>
        <u/>
      </rPr>
      <t>FRANK ALEXIS ABREGO</t>
    </r>
  </si>
  <si>
    <t>Jesus David Suarez Holcovec</t>
  </si>
  <si>
    <t>321 4417084</t>
  </si>
  <si>
    <t>david.holcovec@gmail.com</t>
  </si>
  <si>
    <t>Calle 24c # 84-85</t>
  </si>
  <si>
    <r>
      <rPr>
        <rFont val="arial"/>
        <color rgb="FF1155CC"/>
        <u/>
      </rPr>
      <t>JAIME FERNANDEZ POLICIA</t>
    </r>
  </si>
  <si>
    <r>
      <rPr>
        <rFont val="arial"/>
        <color rgb="FF1155CC"/>
        <u/>
      </rPr>
      <t>JAIME FERNANDEZ POLICIA</t>
    </r>
  </si>
  <si>
    <t>Pedro Fabian Guauta Sanchez</t>
  </si>
  <si>
    <t>312 4346826</t>
  </si>
  <si>
    <r>
      <rPr>
        <rFont val="arial"/>
        <color rgb="FF1155CC"/>
        <u/>
      </rPr>
      <t>MANUEL HERNANDEZ</t>
    </r>
  </si>
  <si>
    <t>pefagusa@gmail.com</t>
  </si>
  <si>
    <t>Calle 31d # 34 -44 Este</t>
  </si>
  <si>
    <t>Andres Felipe Gutierrez Olarte</t>
  </si>
  <si>
    <t>301 2084982</t>
  </si>
  <si>
    <t>gutierrezfelipe36@gmail.com</t>
  </si>
  <si>
    <t>Carrera 64 # 22a -10</t>
  </si>
  <si>
    <r>
      <rPr>
        <rFont val="arial"/>
        <color rgb="FF1155CC"/>
        <u/>
      </rPr>
      <t>MANUEL HERNANDEZ</t>
    </r>
  </si>
  <si>
    <r>
      <rPr>
        <rFont val="arial"/>
        <color rgb="FF1155CC"/>
        <u/>
      </rPr>
      <t>MANUEL HERNANDEZ</t>
    </r>
  </si>
  <si>
    <t>German Garcia</t>
  </si>
  <si>
    <t>313 8013833</t>
  </si>
  <si>
    <r>
      <rPr>
        <rFont val="arial"/>
        <color rgb="FF1155CC"/>
        <u/>
      </rPr>
      <t>MEIR OVADIA LEUY</t>
    </r>
  </si>
  <si>
    <t>Cra. 52A # 174B - 08</t>
  </si>
  <si>
    <r>
      <rPr>
        <rFont val="arial"/>
        <color rgb="FF1155CC"/>
        <u/>
      </rPr>
      <t>MEIR OVADIA LEUY</t>
    </r>
  </si>
  <si>
    <t>Felipe Atehortua</t>
  </si>
  <si>
    <t>300 2667407</t>
  </si>
  <si>
    <t>fepileatehortua@yahoo.com</t>
  </si>
  <si>
    <t>Trv 7 # 17 - 190 Casa 137</t>
  </si>
  <si>
    <r>
      <rPr>
        <rFont val="arial"/>
        <color rgb="FF1155CC"/>
        <u/>
      </rPr>
      <t>MEIR OVADIA LEUY</t>
    </r>
  </si>
  <si>
    <r>
      <rPr>
        <rFont val="arial"/>
        <color rgb="FF1155CC"/>
        <u/>
      </rPr>
      <t>MEIR OVADIA LEUY</t>
    </r>
  </si>
  <si>
    <t>Marco Gomez</t>
  </si>
  <si>
    <t>310 3217482</t>
  </si>
  <si>
    <r>
      <rPr>
        <rFont val="arial"/>
        <color rgb="FF1155CC"/>
        <u/>
      </rPr>
      <t>Manuel Antonio Bernal Bernal</t>
    </r>
  </si>
  <si>
    <t>Camilo Gomez</t>
  </si>
  <si>
    <t>314 4363171</t>
  </si>
  <si>
    <r>
      <rPr>
        <rFont val="arial"/>
        <color rgb="FF1155CC"/>
        <u/>
      </rPr>
      <t>Manuel Antonio Bernal Bernal</t>
    </r>
  </si>
  <si>
    <r>
      <rPr>
        <rFont val="arial"/>
        <color rgb="FF1155CC"/>
        <u/>
      </rPr>
      <t>Jose Nelson Rodriguez Peña</t>
    </r>
  </si>
  <si>
    <t>Oscar David Gomez</t>
  </si>
  <si>
    <t>318 8473968</t>
  </si>
  <si>
    <t>oscargc1@hitmail.com</t>
  </si>
  <si>
    <t>Kra 74 A # 167 - 31</t>
  </si>
  <si>
    <r>
      <rPr>
        <rFont val="arial"/>
        <color rgb="FF1155CC"/>
        <u/>
      </rPr>
      <t>RAUL FRANSCESHI</t>
    </r>
  </si>
  <si>
    <r>
      <rPr>
        <rFont val="arial"/>
        <color rgb="FF1155CC"/>
        <u/>
      </rPr>
      <t>RICARDO MELAMED</t>
    </r>
  </si>
  <si>
    <t>Samuel David Peña Ramiez</t>
  </si>
  <si>
    <r>
      <rPr>
        <rFont val="arial"/>
        <color rgb="FF1155CC"/>
        <u/>
      </rPr>
      <t>RICARDO MELAMED</t>
    </r>
  </si>
  <si>
    <t>Argemiro Sarmiento Ramirez</t>
  </si>
  <si>
    <r>
      <rPr>
        <rFont val="arial"/>
        <color rgb="FF1155CC"/>
        <u/>
      </rPr>
      <t>ETAN NARKIS</t>
    </r>
  </si>
  <si>
    <r>
      <rPr>
        <rFont val="arial"/>
        <color rgb="FF1155CC"/>
        <u/>
      </rPr>
      <t>Felipe Atehortua</t>
    </r>
  </si>
  <si>
    <t>Jefferson Tuta</t>
  </si>
  <si>
    <t>321 2813071</t>
  </si>
  <si>
    <t>jefftuta@gmail.com</t>
  </si>
  <si>
    <t>Calle 3 sur # 3 - 21 Apto.411 To.2</t>
  </si>
  <si>
    <r>
      <rPr>
        <rFont val="arial"/>
        <color rgb="FF1155CC"/>
        <u/>
      </rPr>
      <t>Andres Felipe Lote</t>
    </r>
  </si>
  <si>
    <t>Nelson Francisco Torres Murillo</t>
  </si>
  <si>
    <t>316 7408477</t>
  </si>
  <si>
    <t>netomu0310@hotmail.com</t>
  </si>
  <si>
    <t>Carrera 14 # 118 - 21</t>
  </si>
  <si>
    <r>
      <rPr>
        <rFont val="arial"/>
        <color rgb="FF1155CC"/>
        <u/>
      </rPr>
      <t>Andres Felipe Lote</t>
    </r>
  </si>
  <si>
    <t>Felipe Giraldo T</t>
  </si>
  <si>
    <t>314 2375964</t>
  </si>
  <si>
    <r>
      <rPr>
        <rFont val="arial"/>
        <color rgb="FF1155CC"/>
        <u/>
      </rPr>
      <t>Felipe Atehortua</t>
    </r>
  </si>
  <si>
    <t>Juan Dario Tarazona Manrique</t>
  </si>
  <si>
    <r>
      <rPr>
        <rFont val="arial"/>
        <color rgb="FF1155CC"/>
        <u/>
      </rPr>
      <t>Eduardo Andres villarreal</t>
    </r>
  </si>
  <si>
    <t>tarazona@hotmail.com</t>
  </si>
  <si>
    <t>Calle 24 # 32 - 81</t>
  </si>
  <si>
    <r>
      <rPr>
        <rFont val="arial"/>
        <color rgb="FF1155CC"/>
        <u/>
      </rPr>
      <t>ALVARO CHING</t>
    </r>
  </si>
  <si>
    <r>
      <rPr>
        <rFont val="arial"/>
        <color rgb="FF1155CC"/>
        <u/>
      </rPr>
      <t>Felipe Atehortua</t>
    </r>
  </si>
  <si>
    <t>John Jairo Torres Garcia</t>
  </si>
  <si>
    <t>318 5568038</t>
  </si>
  <si>
    <t>Av 28 # 39A - 11</t>
  </si>
  <si>
    <r>
      <rPr>
        <rFont val="arial"/>
        <color rgb="FF1155CC"/>
        <u/>
      </rPr>
      <t>Juan Lorenzo Mejia Dasilva</t>
    </r>
  </si>
  <si>
    <r>
      <rPr>
        <rFont val="arial"/>
        <color rgb="FF1155CC"/>
        <u/>
      </rPr>
      <t>Werner Claes</t>
    </r>
  </si>
  <si>
    <t>Kevin Sebastian Feria Rojas</t>
  </si>
  <si>
    <t>316 6709228</t>
  </si>
  <si>
    <t>kevinsebastianferiarojas@gmail.com</t>
  </si>
  <si>
    <t>Carrera 68B # 98 - 53</t>
  </si>
  <si>
    <r>
      <rPr>
        <rFont val="arial"/>
        <color rgb="FF1155CC"/>
        <u/>
      </rPr>
      <t>Werner Claes</t>
    </r>
  </si>
  <si>
    <t>Jorge Alberto Navarro</t>
  </si>
  <si>
    <t>313 3480938</t>
  </si>
  <si>
    <t>jornavarro75@hotmail.com</t>
  </si>
  <si>
    <t>Calle 128B - 90-15</t>
  </si>
  <si>
    <r>
      <rPr>
        <rFont val="arial"/>
        <color rgb="FF1155CC"/>
        <u/>
      </rPr>
      <t>Werner Claes</t>
    </r>
  </si>
  <si>
    <r>
      <rPr>
        <rFont val="arial"/>
        <color rgb="FF1155CC"/>
        <u/>
      </rPr>
      <t>Werner Claes</t>
    </r>
  </si>
  <si>
    <t>Rigoberto Murillo B.</t>
  </si>
  <si>
    <t>murillori@hotmail.com</t>
  </si>
  <si>
    <t>Calle 12C- 71C - 61</t>
  </si>
  <si>
    <r>
      <rPr>
        <rFont val="arial"/>
        <color rgb="FF1155CC"/>
        <u/>
      </rPr>
      <t>CARLOS MANUEL SILVA</t>
    </r>
  </si>
  <si>
    <t>Darwin Alberto Moreno Castro</t>
  </si>
  <si>
    <t>314 3219845</t>
  </si>
  <si>
    <t>moreno.darwin@gmail.com</t>
  </si>
  <si>
    <t>Carrera 108 # 70F -66</t>
  </si>
  <si>
    <r>
      <rPr>
        <rFont val="arial"/>
        <color rgb="FF1155CC"/>
        <u/>
      </rPr>
      <t>CARLOS ANDRES CALDERON OVALLE</t>
    </r>
  </si>
  <si>
    <t>Oscar Eduardo Mendoza Vargas</t>
  </si>
  <si>
    <t>315 3347583</t>
  </si>
  <si>
    <t>vargas-91@hotmail.com</t>
  </si>
  <si>
    <t>Calle 53 # 4A - 26 Apto. 101</t>
  </si>
  <si>
    <r>
      <rPr>
        <rFont val="arial"/>
        <color rgb="FF1155CC"/>
        <u/>
      </rPr>
      <t>SAJID DAYAN Bhiku</t>
    </r>
  </si>
  <si>
    <r>
      <rPr>
        <rFont val="arial"/>
        <color rgb="FF1155CC"/>
        <u/>
      </rPr>
      <t>Eduardo Andres villarreal</t>
    </r>
  </si>
  <si>
    <t>Michael Matus</t>
  </si>
  <si>
    <t>315 4293931</t>
  </si>
  <si>
    <t>michaelmatuspaniza@gmail.com</t>
  </si>
  <si>
    <t>Carrera 58 # 119A -98</t>
  </si>
  <si>
    <r>
      <rPr>
        <rFont val="arial"/>
        <color rgb="FF1155CC"/>
        <u/>
      </rPr>
      <t>Eduardo Andres villarreal</t>
    </r>
  </si>
  <si>
    <r>
      <rPr>
        <rFont val="arial"/>
        <color rgb="FF1155CC"/>
        <u/>
      </rPr>
      <t>Rogelio Revello</t>
    </r>
  </si>
  <si>
    <t>Carlos Julio Marin</t>
  </si>
  <si>
    <t>313 8299515</t>
  </si>
  <si>
    <t>Carrera 63 # 100 - 57</t>
  </si>
  <si>
    <r>
      <rPr>
        <rFont val="arial"/>
        <color rgb="FF1155CC"/>
        <u/>
      </rPr>
      <t>Rogelio Revello</t>
    </r>
  </si>
  <si>
    <r>
      <rPr>
        <rFont val="arial"/>
        <color rgb="FF1155CC"/>
        <u/>
      </rPr>
      <t>Joseph Dayan</t>
    </r>
  </si>
  <si>
    <t>Danilo Mosquera Ramirez</t>
  </si>
  <si>
    <t>314 4858832</t>
  </si>
  <si>
    <t>mosqueradanilo@gmail.com</t>
  </si>
  <si>
    <t>Cra 56 # 152B - 71</t>
  </si>
  <si>
    <r>
      <rPr>
        <rFont val="arial"/>
        <color rgb="FF1155CC"/>
        <u/>
      </rPr>
      <t>Joseph Dayan</t>
    </r>
  </si>
  <si>
    <t>Oscar Oswaldo Mahecha Reina</t>
  </si>
  <si>
    <t>316 4038270</t>
  </si>
  <si>
    <t>oscarazulca@gmail.com</t>
  </si>
  <si>
    <r>
      <rPr>
        <rFont val="arial"/>
        <color rgb="FF1155CC"/>
        <u/>
      </rPr>
      <t>Jack Dayan</t>
    </r>
  </si>
  <si>
    <t>Calle 66 # 59-31</t>
  </si>
  <si>
    <r>
      <rPr>
        <rFont val="arial"/>
        <color rgb="FF1155CC"/>
        <u/>
      </rPr>
      <t>ALVARO CHING</t>
    </r>
  </si>
  <si>
    <t>Marlon Posada</t>
  </si>
  <si>
    <t>marlonposada7@gmail.com</t>
  </si>
  <si>
    <t>Carrera 4 # 72-55</t>
  </si>
  <si>
    <r>
      <rPr>
        <rFont val="arial"/>
        <color rgb="FF1155CC"/>
        <u/>
      </rPr>
      <t>MARCO ANTONIO OBANDO CHAVEZ</t>
    </r>
  </si>
  <si>
    <t>Santiago Montes Correal</t>
  </si>
  <si>
    <t>3043430743/COLOMBIA</t>
  </si>
  <si>
    <t>santiago.montes.correal@gmail.com</t>
  </si>
  <si>
    <r>
      <rPr>
        <rFont val="arial"/>
        <color rgb="FF1155CC"/>
        <u/>
      </rPr>
      <t>MARCO ANTONIO OBANDO CHAVEZ</t>
    </r>
  </si>
  <si>
    <t>David Ricardo Ochoa Yepes</t>
  </si>
  <si>
    <r>
      <rPr>
        <rFont val="arial"/>
        <color rgb="FF1155CC"/>
        <u/>
      </rPr>
      <t>Raul DE GRACIA SARACENI</t>
    </r>
  </si>
  <si>
    <t>Alexander Villamarín Guzmán</t>
  </si>
  <si>
    <t>avg72hotmail.com</t>
  </si>
  <si>
    <r>
      <rPr>
        <rFont val="arial"/>
        <color rgb="FF1155CC"/>
        <u/>
      </rPr>
      <t>Raul DE GRACIA SARACENI</t>
    </r>
  </si>
  <si>
    <t>Gobernacion de Cundinamarca</t>
  </si>
  <si>
    <r>
      <rPr>
        <rFont val="arial"/>
        <color rgb="FF1155CC"/>
        <u/>
      </rPr>
      <t>Raul DE GRACIA SARACENI</t>
    </r>
  </si>
  <si>
    <r>
      <rPr>
        <rFont val="arial"/>
        <color rgb="FF1155CC"/>
        <u/>
      </rPr>
      <t>EDGAR ZACHRISSON MITRE</t>
    </r>
  </si>
  <si>
    <t>Ignacio De Villareal Porras</t>
  </si>
  <si>
    <t>ignaciodevillareal@yohoo.com</t>
  </si>
  <si>
    <r>
      <rPr>
        <rFont val="arial"/>
        <color rgb="FF1155CC"/>
        <u/>
      </rPr>
      <t>EZRA CHABOT</t>
    </r>
  </si>
  <si>
    <t>Daniel Estiven Patiño Silva</t>
  </si>
  <si>
    <t>Calle 8 Sur # 69 A - 78</t>
  </si>
  <si>
    <r>
      <rPr>
        <rFont val="arial"/>
        <color rgb="FF1155CC"/>
        <u/>
      </rPr>
      <t>DAVID CHABOT</t>
    </r>
  </si>
  <si>
    <t>Alexander Umaña</t>
  </si>
  <si>
    <t>601 6771893 // 318 7157699</t>
  </si>
  <si>
    <t>alexuma79@hotmail.com</t>
  </si>
  <si>
    <t>Cra 101 # 147C - 34</t>
  </si>
  <si>
    <r>
      <rPr>
        <rFont val="arial"/>
        <color rgb="FF1155CC"/>
        <u/>
      </rPr>
      <t>ARIEL CHABOT</t>
    </r>
  </si>
  <si>
    <t>Sigifredo Alvarez Millan</t>
  </si>
  <si>
    <t>300 2235331</t>
  </si>
  <si>
    <t>sigalvarez@hotmail.com</t>
  </si>
  <si>
    <t>Calle 69 # 96-28</t>
  </si>
  <si>
    <r>
      <rPr>
        <rFont val="arial"/>
        <color rgb="FF1155CC"/>
        <u/>
      </rPr>
      <t>RAUL FRANSCESHI</t>
    </r>
  </si>
  <si>
    <t>Martin Roquer Hidalgo</t>
  </si>
  <si>
    <r>
      <rPr>
        <rFont val="arial"/>
        <color rgb="FF1155CC"/>
        <u/>
      </rPr>
      <t>Luis Alfonso Guerra Morales</t>
    </r>
  </si>
  <si>
    <t>315 3492368</t>
  </si>
  <si>
    <t>mroquerh@hotmail.com</t>
  </si>
  <si>
    <t>Calle 138 # 57 - 86</t>
  </si>
  <si>
    <r>
      <rPr>
        <rFont val="arial"/>
        <color rgb="FF1155CC"/>
        <u/>
      </rPr>
      <t>Luis Alfonso Guerra Morales</t>
    </r>
  </si>
  <si>
    <t>Diego Rodriguez Saza</t>
  </si>
  <si>
    <t>313 2083631</t>
  </si>
  <si>
    <r>
      <rPr>
        <rFont val="arial"/>
        <color rgb="FF1155CC"/>
        <u/>
      </rPr>
      <t>ALFREDO JUNCA WENDE BAKE</t>
    </r>
  </si>
  <si>
    <t>Calle 32 sur # 50A -88</t>
  </si>
  <si>
    <r>
      <rPr>
        <rFont val="arial"/>
        <color rgb="FF1155CC"/>
        <u/>
      </rPr>
      <t>ALVARO CHING</t>
    </r>
  </si>
  <si>
    <t>Juan Felipe Rodriguez Melo</t>
  </si>
  <si>
    <t>310 6755789</t>
  </si>
  <si>
    <t>juanferodmelo@gmail.com</t>
  </si>
  <si>
    <t>Dg. 3 # 6-50</t>
  </si>
  <si>
    <r>
      <rPr>
        <rFont val="arial"/>
        <color rgb="FF1155CC"/>
        <u/>
      </rPr>
      <t>Justo Jose Catilla</t>
    </r>
  </si>
  <si>
    <t>Jesus David Rosso Bayona</t>
  </si>
  <si>
    <t>316 7583194</t>
  </si>
  <si>
    <t>jrosso88@gmail.com</t>
  </si>
  <si>
    <t>Calle 52A # 27A - 27</t>
  </si>
  <si>
    <r>
      <rPr>
        <rFont val="arial"/>
        <color rgb="FF1155CC"/>
        <u/>
      </rPr>
      <t>Isaac Hafez Azrak</t>
    </r>
  </si>
  <si>
    <r>
      <rPr>
        <rFont val="arial"/>
        <color rgb="FF1155CC"/>
        <u/>
      </rPr>
      <t>Jose De La Espriella</t>
    </r>
  </si>
  <si>
    <t>Jim Maykol Rondon Bello</t>
  </si>
  <si>
    <t>322 3070047</t>
  </si>
  <si>
    <t>jimmaykol86@gmail.com</t>
  </si>
  <si>
    <t>Calle 10 # 3-94 BLQ. 14 APTO. 402</t>
  </si>
  <si>
    <r>
      <rPr>
        <rFont val="arial"/>
        <color rgb="FF1155CC"/>
        <u/>
      </rPr>
      <t>Augusto Salguera</t>
    </r>
  </si>
  <si>
    <t>Sergio Augusto Ramirez Mantilla</t>
  </si>
  <si>
    <t>300 3704297</t>
  </si>
  <si>
    <t>sergioramirez@sergioramirez.co</t>
  </si>
  <si>
    <t>Trv. 23 # 94-33 Of. 701</t>
  </si>
  <si>
    <r>
      <rPr>
        <rFont val="arial"/>
        <color rgb="FF1155CC"/>
        <u/>
      </rPr>
      <t>Manuel Antonio Bernal Bernal</t>
    </r>
  </si>
  <si>
    <r>
      <rPr>
        <rFont val="arial"/>
        <color rgb="FF1155CC"/>
        <u/>
      </rPr>
      <t>Jorge Antonio Garcia Arias</t>
    </r>
  </si>
  <si>
    <t>Hugo Armando Beltran Gomez</t>
  </si>
  <si>
    <t>321 4525682</t>
  </si>
  <si>
    <t>Calle 12A # 71C - 60</t>
  </si>
  <si>
    <r>
      <rPr>
        <rFont val="arial"/>
        <color rgb="FF1155CC"/>
        <u/>
      </rPr>
      <t>Jorge Antonio Garcia Arias</t>
    </r>
  </si>
  <si>
    <t>Enrique Barliza</t>
  </si>
  <si>
    <t>301 3715564</t>
  </si>
  <si>
    <t>ecbibarliza@hotmail.com</t>
  </si>
  <si>
    <t>Calle 129 # 7B - 41</t>
  </si>
  <si>
    <r>
      <rPr>
        <rFont val="arial"/>
        <color rgb="FF1155CC"/>
        <u/>
      </rPr>
      <t>Felipe Batista Acosta</t>
    </r>
  </si>
  <si>
    <r>
      <rPr>
        <rFont val="arial"/>
        <color rgb="FF1155CC"/>
        <u/>
      </rPr>
      <t>Felipe Batista Acosta</t>
    </r>
  </si>
  <si>
    <t>Jairo Bernal</t>
  </si>
  <si>
    <t>313 8850135</t>
  </si>
  <si>
    <t>jairo.bernal@hotmail.com</t>
  </si>
  <si>
    <t>Oficina</t>
  </si>
  <si>
    <r>
      <rPr>
        <rFont val="arial"/>
        <color rgb="FF1155CC"/>
        <u/>
      </rPr>
      <t>Jessier Marc</t>
    </r>
  </si>
  <si>
    <t>Dinimo Bolivar Saenz</t>
  </si>
  <si>
    <r>
      <rPr>
        <rFont val="arial"/>
        <color rgb="FF1155CC"/>
        <u/>
      </rPr>
      <t>Juan Diego Quintero Candanedo</t>
    </r>
  </si>
  <si>
    <t>300 6170181</t>
  </si>
  <si>
    <t>dinimobolivar@gmail.com</t>
  </si>
  <si>
    <t>Cra 22 # 102-70 Apto 505</t>
  </si>
  <si>
    <r>
      <rPr>
        <rFont val="arial"/>
        <color rgb="FF1155CC"/>
        <u/>
      </rPr>
      <t>Rogelio Revello</t>
    </r>
  </si>
  <si>
    <t>Jheison Bajonero Arias</t>
  </si>
  <si>
    <r>
      <rPr>
        <rFont val="arial"/>
        <color rgb="FF1155CC"/>
        <u/>
      </rPr>
      <t>Rogelio Hijo Revello Carranza</t>
    </r>
  </si>
  <si>
    <t>315 3442025</t>
  </si>
  <si>
    <t>Calle 25 # 43A -32</t>
  </si>
  <si>
    <r>
      <rPr>
        <rFont val="arial"/>
        <color rgb="FF1155CC"/>
        <u/>
      </rPr>
      <t>Simon Chocron</t>
    </r>
  </si>
  <si>
    <t>Romario David Camargo Pizarro</t>
  </si>
  <si>
    <t>301 7709589</t>
  </si>
  <si>
    <t>romapizarro@gmail.com</t>
  </si>
  <si>
    <t>Calle 150 # 53-68 / Oficina Trv 23 # 94 - 33 OF. 701</t>
  </si>
  <si>
    <r>
      <rPr>
        <rFont val="arial"/>
        <color rgb="FF1155CC"/>
        <u/>
      </rPr>
      <t>Andres Tovar</t>
    </r>
  </si>
  <si>
    <t>Alexander Betancourt Quinche</t>
  </si>
  <si>
    <t>311 5303620</t>
  </si>
  <si>
    <t>alexbetancourt23@gmail.com</t>
  </si>
  <si>
    <t>Calle 13 a sur # 16-91</t>
  </si>
  <si>
    <r>
      <rPr>
        <rFont val="arial"/>
        <color rgb="FF1155CC"/>
        <u/>
      </rPr>
      <t>Juan Kuan Guerrero</t>
    </r>
  </si>
  <si>
    <r>
      <rPr>
        <rFont val="arial"/>
        <color rgb="FF1155CC"/>
        <u/>
      </rPr>
      <t>Juan Kuan Guerrero</t>
    </r>
  </si>
  <si>
    <t>Paulo Cesar Arenas Arenas</t>
  </si>
  <si>
    <t>312 6310049</t>
  </si>
  <si>
    <t>pcarenas05@gmail.com</t>
  </si>
  <si>
    <t>Km. 12 Laguna Club</t>
  </si>
  <si>
    <r>
      <rPr>
        <rFont val="arial"/>
        <color rgb="FF1155CC"/>
        <u/>
      </rPr>
      <t>Juan Kuan Guerrero</t>
    </r>
  </si>
  <si>
    <r>
      <rPr>
        <rFont val="arial"/>
        <color rgb="FF1155CC"/>
        <u/>
      </rPr>
      <t>Fidel Asprilla</t>
    </r>
  </si>
  <si>
    <t>Victor Amado Otalora</t>
  </si>
  <si>
    <t>313 3974794</t>
  </si>
  <si>
    <t>Trv. 60 # 126-50</t>
  </si>
  <si>
    <t>Juan David Avellaneda Avila</t>
  </si>
  <si>
    <r>
      <rPr>
        <rFont val="arial"/>
        <color rgb="FF1155CC"/>
        <u/>
      </rPr>
      <t>Fidel Asprilla</t>
    </r>
  </si>
  <si>
    <t>311 2733294</t>
  </si>
  <si>
    <t>jdavellaneda.20@hotmail.com</t>
  </si>
  <si>
    <t>Carrera 13 # 27-98</t>
  </si>
  <si>
    <r>
      <rPr>
        <rFont val="arial"/>
        <color rgb="FF1155CC"/>
        <u/>
      </rPr>
      <t>Fidel Asprilla</t>
    </r>
  </si>
  <si>
    <r>
      <rPr>
        <rFont val="arial"/>
        <color rgb="FF1155CC"/>
        <u/>
      </rPr>
      <t>Yosimar Reyes Acevedo</t>
    </r>
  </si>
  <si>
    <t>Carlos Andres Arias Piedraita</t>
  </si>
  <si>
    <t>caariasp@yahoo.com</t>
  </si>
  <si>
    <t>Carrera 157 # 12b-90</t>
  </si>
  <si>
    <r>
      <rPr>
        <rFont val="arial"/>
        <color rgb="FF1155CC"/>
        <u/>
      </rPr>
      <t>Yosimar Reyes Acevedo</t>
    </r>
  </si>
  <si>
    <t>Santiago Avellaneda</t>
  </si>
  <si>
    <t>301 2900560</t>
  </si>
  <si>
    <t>Carrera 18 # 116-96</t>
  </si>
  <si>
    <r>
      <rPr>
        <rFont val="arial"/>
        <color rgb="FF1155CC"/>
        <u/>
      </rPr>
      <t>Yosimar Reyes Acevedo</t>
    </r>
  </si>
  <si>
    <r>
      <rPr>
        <rFont val="arial"/>
        <color rgb="FF1155CC"/>
        <u/>
      </rPr>
      <t>Yosimar Reyes Acevedo</t>
    </r>
  </si>
  <si>
    <t>Ricardo Acevedo</t>
  </si>
  <si>
    <t>321 7011032</t>
  </si>
  <si>
    <t>Calle 5 # 75-05</t>
  </si>
  <si>
    <r>
      <rPr>
        <rFont val="arial"/>
        <color rgb="FF1155CC"/>
        <u/>
      </rPr>
      <t>Yosimar Reyes Acevedo</t>
    </r>
  </si>
  <si>
    <r>
      <rPr>
        <rFont val="arial"/>
        <color rgb="FF1155CC"/>
        <u/>
      </rPr>
      <t>Yosimar Reyes Acevedo</t>
    </r>
  </si>
  <si>
    <t>Hair Ardila Robles</t>
  </si>
  <si>
    <t>320 2345233</t>
  </si>
  <si>
    <t>ardirojair2@gmail.com</t>
  </si>
  <si>
    <t>Calle 106 # 7-34</t>
  </si>
  <si>
    <r>
      <rPr>
        <rFont val="arial"/>
        <color rgb="FF1155CC"/>
        <u/>
      </rPr>
      <t>Yosimar Reyes Acevedo</t>
    </r>
  </si>
  <si>
    <r>
      <rPr>
        <rFont val="arial"/>
        <color rgb="FF1155CC"/>
        <u/>
      </rPr>
      <t>Yosimar Reyes Acevedo</t>
    </r>
  </si>
  <si>
    <t>Jorge E Cuello Velez</t>
  </si>
  <si>
    <t>Jcuello@jcvelezabogados.com</t>
  </si>
  <si>
    <t>Calle 95 # 21-52 apto 208</t>
  </si>
  <si>
    <r>
      <rPr>
        <rFont val="arial"/>
        <color rgb="FF1155CC"/>
        <u/>
      </rPr>
      <t>Yosimar Reyes Acevedo</t>
    </r>
  </si>
  <si>
    <r>
      <rPr>
        <rFont val="arial"/>
        <color rgb="FF1155CC"/>
        <u/>
      </rPr>
      <t>Yosimar Reyes Acevedo</t>
    </r>
  </si>
  <si>
    <t>Jorge Armando Linares</t>
  </si>
  <si>
    <r>
      <rPr>
        <rFont val="arial"/>
        <color rgb="FF1155CC"/>
        <u/>
      </rPr>
      <t>Yosimar Reyes Acevedo</t>
    </r>
  </si>
  <si>
    <r>
      <rPr>
        <rFont val="arial"/>
        <color rgb="FF1155CC"/>
        <u/>
      </rPr>
      <t>Yosimar Reyes Acevedo</t>
    </r>
  </si>
  <si>
    <t>Bastian Camilo Matheus Lemus</t>
  </si>
  <si>
    <t>304 3166904</t>
  </si>
  <si>
    <t>camilomatlem@gmail.com</t>
  </si>
  <si>
    <t>Trv. 34 # 58c - 79</t>
  </si>
  <si>
    <r>
      <rPr>
        <rFont val="arial"/>
        <color rgb="FF1155CC"/>
        <u/>
      </rPr>
      <t>Yosimar Reyes Acevedo</t>
    </r>
  </si>
  <si>
    <r>
      <rPr>
        <rFont val="arial"/>
        <color rgb="FF1155CC"/>
        <u/>
      </rPr>
      <t>Yosimar Reyes Acevedo</t>
    </r>
  </si>
  <si>
    <r>
      <rPr>
        <rFont val="arial"/>
        <color rgb="FF1155CC"/>
        <u/>
      </rPr>
      <t>Rogelio Revello</t>
    </r>
  </si>
  <si>
    <r>
      <rPr>
        <rFont val="arial"/>
        <color rgb="FF1155CC"/>
        <u/>
      </rPr>
      <t>Rogelio Revello</t>
    </r>
  </si>
  <si>
    <r>
      <rPr>
        <rFont val="arial"/>
        <color rgb="FF1155CC"/>
        <u/>
      </rPr>
      <t>Rogelio Revello</t>
    </r>
  </si>
  <si>
    <r>
      <rPr>
        <rFont val="arial"/>
        <color rgb="FF1155CC"/>
        <u/>
      </rPr>
      <t>Rogelio Revello</t>
    </r>
  </si>
  <si>
    <r>
      <rPr>
        <rFont val="arial"/>
        <color rgb="FF1155CC"/>
        <u/>
      </rPr>
      <t>Rogelio Revello</t>
    </r>
  </si>
  <si>
    <r>
      <rPr>
        <rFont val="arial"/>
        <color rgb="FF1155CC"/>
        <u/>
      </rPr>
      <t>Rogelio Revello</t>
    </r>
  </si>
  <si>
    <r>
      <rPr>
        <rFont val="arial"/>
        <color rgb="FF1155CC"/>
        <u/>
      </rPr>
      <t>Rogelio Revello</t>
    </r>
  </si>
  <si>
    <r>
      <rPr>
        <rFont val="arial"/>
        <color rgb="FF1155CC"/>
        <u/>
      </rPr>
      <t>Rogelio Revello</t>
    </r>
  </si>
  <si>
    <r>
      <rPr>
        <rFont val="arial"/>
        <color rgb="FF1155CC"/>
        <u/>
      </rPr>
      <t>Janson Pier</t>
    </r>
  </si>
  <si>
    <r>
      <rPr>
        <rFont val="arial"/>
        <color rgb="FF1155CC"/>
        <u/>
      </rPr>
      <t>Janson Pier</t>
    </r>
  </si>
  <si>
    <r>
      <rPr>
        <rFont val="arial"/>
        <color rgb="FF1155CC"/>
        <u/>
      </rPr>
      <t>Janson Pier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</si>
</sst>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 h:mm:ss"/>
    <numFmt numFmtId="165" formatCode="yyyy-mm-dd"/>
    <numFmt numFmtId="166" formatCode="m-d-yyyy"/>
    <numFmt numFmtId="167" formatCode="m-yyyy"/>
    <numFmt numFmtId="168" formatCode="m-d"/>
    <numFmt numFmtId="169" formatCode="mm-dd-yyyy"/>
  </numFmts>
  <fonts count="9">
    <font>
      <sz val="10.0"/>
      <color rgb="FF000000"/>
      <name val="Arial"/>
      <scheme val="minor"/>
    </font>
    <font>
      <color rgb="FF363636"/>
      <name val="Arial"/>
    </font>
    <font>
      <b/>
      <u/>
      <color rgb="FF0000FF"/>
      <name val="Arial"/>
    </font>
    <font>
      <u/>
      <color rgb="FF0000FF"/>
      <name val="Arial"/>
    </font>
    <font>
      <color theme="1"/>
      <name val="Arial"/>
      <scheme val="minor"/>
    </font>
    <font>
      <b/>
      <color rgb="FF7B4600"/>
      <name val="Arial"/>
    </font>
    <font>
      <u/>
      <color rgb="FF0000FF"/>
      <name val="Arial"/>
    </font>
    <font>
      <u/>
      <color rgb="FF363636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DD"/>
        <bgColor rgb="FFFFF2DD"/>
      </patternFill>
    </fill>
    <fill>
      <patternFill patternType="solid">
        <fgColor rgb="FFFFFAF1"/>
        <bgColor rgb="FFFFFAF1"/>
      </patternFill>
    </fill>
  </fills>
  <borders count="3">
    <border/>
    <border>
      <bottom style="thin">
        <color rgb="FFEDF1F7"/>
      </bottom>
    </border>
    <border>
      <bottom style="thin">
        <color rgb="FFFFD6A2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top"/>
    </xf>
    <xf borderId="0" fillId="0" fontId="4" numFmtId="0" xfId="0" applyAlignment="1" applyFont="1">
      <alignment horizontal="center"/>
    </xf>
    <xf borderId="2" fillId="2" fontId="5" numFmtId="0" xfId="0" applyAlignment="1" applyBorder="1" applyFill="1" applyFont="1">
      <alignment horizontal="center" vertical="bottom"/>
    </xf>
    <xf borderId="1" fillId="0" fontId="1" numFmtId="164" xfId="0" applyAlignment="1" applyBorder="1" applyFont="1" applyNumberFormat="1">
      <alignment horizontal="center" readingOrder="0" vertical="top"/>
    </xf>
    <xf borderId="1" fillId="0" fontId="6" numFmtId="0" xfId="0" applyAlignment="1" applyBorder="1" applyFont="1">
      <alignment horizontal="center" readingOrder="0" vertical="top"/>
    </xf>
    <xf borderId="1" fillId="0" fontId="1" numFmtId="165" xfId="0" applyAlignment="1" applyBorder="1" applyFont="1" applyNumberFormat="1">
      <alignment horizontal="center" readingOrder="0" vertical="top"/>
    </xf>
    <xf borderId="1" fillId="0" fontId="7" numFmtId="0" xfId="0" applyAlignment="1" applyBorder="1" applyFont="1">
      <alignment horizontal="center" readingOrder="0" vertical="top"/>
    </xf>
    <xf borderId="1" fillId="0" fontId="1" numFmtId="166" xfId="0" applyAlignment="1" applyBorder="1" applyFont="1" applyNumberFormat="1">
      <alignment horizontal="center" readingOrder="0" vertical="top"/>
    </xf>
    <xf borderId="1" fillId="0" fontId="1" numFmtId="167" xfId="0" applyAlignment="1" applyBorder="1" applyFont="1" applyNumberFormat="1">
      <alignment horizontal="center" readingOrder="0" vertical="top"/>
    </xf>
    <xf borderId="1" fillId="0" fontId="1" numFmtId="168" xfId="0" applyAlignment="1" applyBorder="1" applyFont="1" applyNumberFormat="1">
      <alignment horizontal="center" readingOrder="0" vertical="top"/>
    </xf>
    <xf borderId="1" fillId="0" fontId="1" numFmtId="169" xfId="0" applyAlignment="1" applyBorder="1" applyFont="1" applyNumberFormat="1">
      <alignment horizontal="center" readingOrder="0" vertical="top"/>
    </xf>
    <xf borderId="0" fillId="3" fontId="1" numFmtId="0" xfId="0" applyAlignment="1" applyFill="1" applyFont="1">
      <alignment horizontal="center" readingOrder="0" vertical="top"/>
    </xf>
    <xf borderId="0" fillId="0" fontId="1" numFmtId="164" xfId="0" applyAlignment="1" applyFont="1" applyNumberFormat="1">
      <alignment horizontal="center" readingOrder="0" vertical="top"/>
    </xf>
    <xf borderId="0" fillId="0" fontId="8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 vertical="top"/>
    </xf>
    <xf borderId="0" fillId="0" fontId="1" numFmtId="165" xfId="0" applyAlignment="1" applyFont="1" applyNumberForma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librodeclientes.com/layout.php?page=client&amp;id=432" TargetMode="External"/><Relationship Id="rId194" Type="http://schemas.openxmlformats.org/officeDocument/2006/relationships/hyperlink" Target="https://librodeclientes.com/layout.php?page=client&amp;id=428" TargetMode="External"/><Relationship Id="rId193" Type="http://schemas.openxmlformats.org/officeDocument/2006/relationships/hyperlink" Target="https://librodeclientes.com/layout.php?page=client&amp;id=429" TargetMode="External"/><Relationship Id="rId192" Type="http://schemas.openxmlformats.org/officeDocument/2006/relationships/hyperlink" Target="https://librodeclientes.com/layout.php?page=client&amp;id=430" TargetMode="External"/><Relationship Id="rId191" Type="http://schemas.openxmlformats.org/officeDocument/2006/relationships/hyperlink" Target="https://librodeclientes.com/layout.php?page=client&amp;id=431" TargetMode="External"/><Relationship Id="rId187" Type="http://schemas.openxmlformats.org/officeDocument/2006/relationships/hyperlink" Target="https://librodeclientes.com/layout.php?page=client&amp;id=435" TargetMode="External"/><Relationship Id="rId186" Type="http://schemas.openxmlformats.org/officeDocument/2006/relationships/hyperlink" Target="https://librodeclientes.com/layout.php?page=client&amp;id=436" TargetMode="External"/><Relationship Id="rId185" Type="http://schemas.openxmlformats.org/officeDocument/2006/relationships/hyperlink" Target="https://librodeclientes.com/layout.php?page=client&amp;id=437" TargetMode="External"/><Relationship Id="rId184" Type="http://schemas.openxmlformats.org/officeDocument/2006/relationships/hyperlink" Target="https://librodeclientes.com/layout.php?page=client&amp;id=438" TargetMode="External"/><Relationship Id="rId189" Type="http://schemas.openxmlformats.org/officeDocument/2006/relationships/hyperlink" Target="https://librodeclientes.com/layout.php?page=client&amp;id=433" TargetMode="External"/><Relationship Id="rId188" Type="http://schemas.openxmlformats.org/officeDocument/2006/relationships/hyperlink" Target="https://librodeclientes.com/layout.php?page=client&amp;id=434" TargetMode="External"/><Relationship Id="rId183" Type="http://schemas.openxmlformats.org/officeDocument/2006/relationships/hyperlink" Target="https://librodeclientes.com/layout.php?page=client&amp;id=439" TargetMode="External"/><Relationship Id="rId182" Type="http://schemas.openxmlformats.org/officeDocument/2006/relationships/hyperlink" Target="https://librodeclientes.com/layout.php?page=client&amp;id=440" TargetMode="External"/><Relationship Id="rId181" Type="http://schemas.openxmlformats.org/officeDocument/2006/relationships/hyperlink" Target="https://librodeclientes.com/layout.php?page=client&amp;id=441" TargetMode="External"/><Relationship Id="rId180" Type="http://schemas.openxmlformats.org/officeDocument/2006/relationships/hyperlink" Target="https://librodeclientes.com/layout.php?page=client&amp;id=442" TargetMode="External"/><Relationship Id="rId176" Type="http://schemas.openxmlformats.org/officeDocument/2006/relationships/hyperlink" Target="https://librodeclientes.com/layout.php?page=client&amp;id=446" TargetMode="External"/><Relationship Id="rId297" Type="http://schemas.openxmlformats.org/officeDocument/2006/relationships/hyperlink" Target="https://librodeclientes.com/layout.php?page=client&amp;id=325" TargetMode="External"/><Relationship Id="rId175" Type="http://schemas.openxmlformats.org/officeDocument/2006/relationships/hyperlink" Target="https://librodeclientes.com/layout.php?page=client&amp;id=447" TargetMode="External"/><Relationship Id="rId296" Type="http://schemas.openxmlformats.org/officeDocument/2006/relationships/hyperlink" Target="https://librodeclientes.com/layout.php?page=client&amp;id=326" TargetMode="External"/><Relationship Id="rId174" Type="http://schemas.openxmlformats.org/officeDocument/2006/relationships/hyperlink" Target="https://librodeclientes.com/layout.php?page=client&amp;id=448" TargetMode="External"/><Relationship Id="rId295" Type="http://schemas.openxmlformats.org/officeDocument/2006/relationships/hyperlink" Target="https://librodeclientes.com/layout.php?page=client&amp;id=327" TargetMode="External"/><Relationship Id="rId173" Type="http://schemas.openxmlformats.org/officeDocument/2006/relationships/hyperlink" Target="https://librodeclientes.com/layout.php?page=client&amp;id=449" TargetMode="External"/><Relationship Id="rId294" Type="http://schemas.openxmlformats.org/officeDocument/2006/relationships/hyperlink" Target="https://librodeclientes.com/layout.php?page=client&amp;id=328" TargetMode="External"/><Relationship Id="rId179" Type="http://schemas.openxmlformats.org/officeDocument/2006/relationships/hyperlink" Target="https://librodeclientes.com/layout.php?page=client&amp;id=443" TargetMode="External"/><Relationship Id="rId178" Type="http://schemas.openxmlformats.org/officeDocument/2006/relationships/hyperlink" Target="https://librodeclientes.com/layout.php?page=client&amp;id=444" TargetMode="External"/><Relationship Id="rId299" Type="http://schemas.openxmlformats.org/officeDocument/2006/relationships/hyperlink" Target="https://librodeclientes.com/layout.php?page=client&amp;id=323" TargetMode="External"/><Relationship Id="rId177" Type="http://schemas.openxmlformats.org/officeDocument/2006/relationships/hyperlink" Target="https://librodeclientes.com/layout.php?page=client&amp;id=445" TargetMode="External"/><Relationship Id="rId298" Type="http://schemas.openxmlformats.org/officeDocument/2006/relationships/hyperlink" Target="https://librodeclientes.com/layout.php?page=client&amp;id=324" TargetMode="External"/><Relationship Id="rId198" Type="http://schemas.openxmlformats.org/officeDocument/2006/relationships/hyperlink" Target="https://librodeclientes.com/layout.php?page=client&amp;id=424" TargetMode="External"/><Relationship Id="rId197" Type="http://schemas.openxmlformats.org/officeDocument/2006/relationships/hyperlink" Target="https://librodeclientes.com/layout.php?page=client&amp;id=425" TargetMode="External"/><Relationship Id="rId196" Type="http://schemas.openxmlformats.org/officeDocument/2006/relationships/hyperlink" Target="https://librodeclientes.com/layout.php?page=client&amp;id=426" TargetMode="External"/><Relationship Id="rId195" Type="http://schemas.openxmlformats.org/officeDocument/2006/relationships/hyperlink" Target="https://librodeclientes.com/layout.php?page=client&amp;id=427" TargetMode="External"/><Relationship Id="rId199" Type="http://schemas.openxmlformats.org/officeDocument/2006/relationships/hyperlink" Target="https://librodeclientes.com/layout.php?page=client&amp;id=423" TargetMode="External"/><Relationship Id="rId150" Type="http://schemas.openxmlformats.org/officeDocument/2006/relationships/hyperlink" Target="https://librodeclientes.com/layout.php?page=client&amp;id=472" TargetMode="External"/><Relationship Id="rId271" Type="http://schemas.openxmlformats.org/officeDocument/2006/relationships/hyperlink" Target="https://librodeclientes.com/layout.php?page=client&amp;id=351" TargetMode="External"/><Relationship Id="rId392" Type="http://schemas.openxmlformats.org/officeDocument/2006/relationships/hyperlink" Target="https://librodeclientes.com/layout.php?page=client&amp;id=230" TargetMode="External"/><Relationship Id="rId270" Type="http://schemas.openxmlformats.org/officeDocument/2006/relationships/hyperlink" Target="https://librodeclientes.com/layout.php?page=client&amp;id=352" TargetMode="External"/><Relationship Id="rId391" Type="http://schemas.openxmlformats.org/officeDocument/2006/relationships/hyperlink" Target="https://librodeclientes.com/layout.php?page=client&amp;id=231" TargetMode="External"/><Relationship Id="rId390" Type="http://schemas.openxmlformats.org/officeDocument/2006/relationships/hyperlink" Target="https://librodeclientes.com/layout.php?page=client&amp;id=232" TargetMode="External"/><Relationship Id="rId1" Type="http://schemas.openxmlformats.org/officeDocument/2006/relationships/hyperlink" Target="https://librodeclientes.com/layout.php?page=client&amp;id=620" TargetMode="External"/><Relationship Id="rId2" Type="http://schemas.openxmlformats.org/officeDocument/2006/relationships/hyperlink" Target="https://librodeclientes.com/layout.php?page=client&amp;id=619" TargetMode="External"/><Relationship Id="rId3" Type="http://schemas.openxmlformats.org/officeDocument/2006/relationships/hyperlink" Target="https://librodeclientes.com/layout.php?page=client&amp;id=618" TargetMode="External"/><Relationship Id="rId149" Type="http://schemas.openxmlformats.org/officeDocument/2006/relationships/hyperlink" Target="https://librodeclientes.com/layout.php?page=client&amp;id=473" TargetMode="External"/><Relationship Id="rId4" Type="http://schemas.openxmlformats.org/officeDocument/2006/relationships/hyperlink" Target="https://librodeclientes.com/layout.php?page=client&amp;id=617" TargetMode="External"/><Relationship Id="rId148" Type="http://schemas.openxmlformats.org/officeDocument/2006/relationships/hyperlink" Target="https://librodeclientes.com/layout.php?page=client&amp;id=474" TargetMode="External"/><Relationship Id="rId269" Type="http://schemas.openxmlformats.org/officeDocument/2006/relationships/hyperlink" Target="https://librodeclientes.com/layout.php?page=client&amp;id=353" TargetMode="External"/><Relationship Id="rId9" Type="http://schemas.openxmlformats.org/officeDocument/2006/relationships/hyperlink" Target="https://librodeclientes.com/layout.php?page=client&amp;id=612" TargetMode="External"/><Relationship Id="rId143" Type="http://schemas.openxmlformats.org/officeDocument/2006/relationships/hyperlink" Target="https://librodeclientes.com/layout.php?page=client&amp;id=479" TargetMode="External"/><Relationship Id="rId264" Type="http://schemas.openxmlformats.org/officeDocument/2006/relationships/hyperlink" Target="https://librodeclientes.com/layout.php?page=client&amp;id=358" TargetMode="External"/><Relationship Id="rId385" Type="http://schemas.openxmlformats.org/officeDocument/2006/relationships/hyperlink" Target="https://librodeclientes.com/layout.php?page=client&amp;id=237" TargetMode="External"/><Relationship Id="rId142" Type="http://schemas.openxmlformats.org/officeDocument/2006/relationships/hyperlink" Target="https://librodeclientes.com/layout.php?page=client&amp;id=480" TargetMode="External"/><Relationship Id="rId263" Type="http://schemas.openxmlformats.org/officeDocument/2006/relationships/hyperlink" Target="https://librodeclientes.com/layout.php?page=client&amp;id=359" TargetMode="External"/><Relationship Id="rId384" Type="http://schemas.openxmlformats.org/officeDocument/2006/relationships/hyperlink" Target="https://librodeclientes.com/layout.php?page=client&amp;id=238" TargetMode="External"/><Relationship Id="rId141" Type="http://schemas.openxmlformats.org/officeDocument/2006/relationships/hyperlink" Target="https://librodeclientes.com/layout.php?page=client&amp;id=481" TargetMode="External"/><Relationship Id="rId262" Type="http://schemas.openxmlformats.org/officeDocument/2006/relationships/hyperlink" Target="https://librodeclientes.com/layout.php?page=client&amp;id=360" TargetMode="External"/><Relationship Id="rId383" Type="http://schemas.openxmlformats.org/officeDocument/2006/relationships/hyperlink" Target="https://librodeclientes.com/layout.php?page=client&amp;id=239" TargetMode="External"/><Relationship Id="rId140" Type="http://schemas.openxmlformats.org/officeDocument/2006/relationships/hyperlink" Target="https://librodeclientes.com/layout.php?page=client&amp;id=482" TargetMode="External"/><Relationship Id="rId261" Type="http://schemas.openxmlformats.org/officeDocument/2006/relationships/hyperlink" Target="https://librodeclientes.com/layout.php?page=client&amp;id=361" TargetMode="External"/><Relationship Id="rId382" Type="http://schemas.openxmlformats.org/officeDocument/2006/relationships/hyperlink" Target="https://librodeclientes.com/layout.php?page=client&amp;id=240" TargetMode="External"/><Relationship Id="rId5" Type="http://schemas.openxmlformats.org/officeDocument/2006/relationships/hyperlink" Target="https://librodeclientes.com/layout.php?page=client&amp;id=616" TargetMode="External"/><Relationship Id="rId147" Type="http://schemas.openxmlformats.org/officeDocument/2006/relationships/hyperlink" Target="https://librodeclientes.com/layout.php?page=client&amp;id=475" TargetMode="External"/><Relationship Id="rId268" Type="http://schemas.openxmlformats.org/officeDocument/2006/relationships/hyperlink" Target="https://librodeclientes.com/layout.php?page=client&amp;id=354" TargetMode="External"/><Relationship Id="rId389" Type="http://schemas.openxmlformats.org/officeDocument/2006/relationships/hyperlink" Target="https://librodeclientes.com/layout.php?page=client&amp;id=233" TargetMode="External"/><Relationship Id="rId6" Type="http://schemas.openxmlformats.org/officeDocument/2006/relationships/hyperlink" Target="https://librodeclientes.com/layout.php?page=client&amp;id=615" TargetMode="External"/><Relationship Id="rId146" Type="http://schemas.openxmlformats.org/officeDocument/2006/relationships/hyperlink" Target="https://librodeclientes.com/layout.php?page=client&amp;id=476" TargetMode="External"/><Relationship Id="rId267" Type="http://schemas.openxmlformats.org/officeDocument/2006/relationships/hyperlink" Target="https://librodeclientes.com/layout.php?page=client&amp;id=355" TargetMode="External"/><Relationship Id="rId388" Type="http://schemas.openxmlformats.org/officeDocument/2006/relationships/hyperlink" Target="https://librodeclientes.com/layout.php?page=client&amp;id=234" TargetMode="External"/><Relationship Id="rId7" Type="http://schemas.openxmlformats.org/officeDocument/2006/relationships/hyperlink" Target="https://librodeclientes.com/layout.php?page=client&amp;id=614" TargetMode="External"/><Relationship Id="rId145" Type="http://schemas.openxmlformats.org/officeDocument/2006/relationships/hyperlink" Target="https://librodeclientes.com/layout.php?page=client&amp;id=477" TargetMode="External"/><Relationship Id="rId266" Type="http://schemas.openxmlformats.org/officeDocument/2006/relationships/hyperlink" Target="https://librodeclientes.com/layout.php?page=client&amp;id=356" TargetMode="External"/><Relationship Id="rId387" Type="http://schemas.openxmlformats.org/officeDocument/2006/relationships/hyperlink" Target="https://librodeclientes.com/layout.php?page=client&amp;id=235" TargetMode="External"/><Relationship Id="rId8" Type="http://schemas.openxmlformats.org/officeDocument/2006/relationships/hyperlink" Target="https://librodeclientes.com/layout.php?page=client&amp;id=613" TargetMode="External"/><Relationship Id="rId144" Type="http://schemas.openxmlformats.org/officeDocument/2006/relationships/hyperlink" Target="https://librodeclientes.com/layout.php?page=client&amp;id=478" TargetMode="External"/><Relationship Id="rId265" Type="http://schemas.openxmlformats.org/officeDocument/2006/relationships/hyperlink" Target="https://librodeclientes.com/layout.php?page=client&amp;id=357" TargetMode="External"/><Relationship Id="rId386" Type="http://schemas.openxmlformats.org/officeDocument/2006/relationships/hyperlink" Target="https://librodeclientes.com/layout.php?page=client&amp;id=236" TargetMode="External"/><Relationship Id="rId260" Type="http://schemas.openxmlformats.org/officeDocument/2006/relationships/hyperlink" Target="https://librodeclientes.com/layout.php?page=client&amp;id=362" TargetMode="External"/><Relationship Id="rId381" Type="http://schemas.openxmlformats.org/officeDocument/2006/relationships/hyperlink" Target="https://librodeclientes.com/layout.php?page=client&amp;id=241" TargetMode="External"/><Relationship Id="rId380" Type="http://schemas.openxmlformats.org/officeDocument/2006/relationships/hyperlink" Target="https://librodeclientes.com/layout.php?page=client&amp;id=242" TargetMode="External"/><Relationship Id="rId139" Type="http://schemas.openxmlformats.org/officeDocument/2006/relationships/hyperlink" Target="https://librodeclientes.com/layout.php?page=client&amp;id=483" TargetMode="External"/><Relationship Id="rId138" Type="http://schemas.openxmlformats.org/officeDocument/2006/relationships/hyperlink" Target="https://librodeclientes.com/layout.php?page=client&amp;id=484" TargetMode="External"/><Relationship Id="rId259" Type="http://schemas.openxmlformats.org/officeDocument/2006/relationships/hyperlink" Target="https://librodeclientes.com/layout.php?page=client&amp;id=363" TargetMode="External"/><Relationship Id="rId137" Type="http://schemas.openxmlformats.org/officeDocument/2006/relationships/hyperlink" Target="https://librodeclientes.com/layout.php?page=client&amp;id=485" TargetMode="External"/><Relationship Id="rId258" Type="http://schemas.openxmlformats.org/officeDocument/2006/relationships/hyperlink" Target="https://librodeclientes.com/layout.php?page=client&amp;id=364" TargetMode="External"/><Relationship Id="rId379" Type="http://schemas.openxmlformats.org/officeDocument/2006/relationships/hyperlink" Target="https://librodeclientes.com/layout.php?page=client&amp;id=243" TargetMode="External"/><Relationship Id="rId132" Type="http://schemas.openxmlformats.org/officeDocument/2006/relationships/hyperlink" Target="https://librodeclientes.com/layout.php?page=client&amp;id=490" TargetMode="External"/><Relationship Id="rId253" Type="http://schemas.openxmlformats.org/officeDocument/2006/relationships/hyperlink" Target="https://librodeclientes.com/layout.php?page=client&amp;id=369" TargetMode="External"/><Relationship Id="rId374" Type="http://schemas.openxmlformats.org/officeDocument/2006/relationships/hyperlink" Target="https://librodeclientes.com/layout.php?page=client&amp;id=248" TargetMode="External"/><Relationship Id="rId495" Type="http://schemas.openxmlformats.org/officeDocument/2006/relationships/hyperlink" Target="https://librodeclientes.com/layout.php?page=client&amp;id=127" TargetMode="External"/><Relationship Id="rId131" Type="http://schemas.openxmlformats.org/officeDocument/2006/relationships/hyperlink" Target="https://librodeclientes.com/layout.php?page=client&amp;id=491" TargetMode="External"/><Relationship Id="rId252" Type="http://schemas.openxmlformats.org/officeDocument/2006/relationships/hyperlink" Target="https://librodeclientes.com/layout.php?page=client&amp;id=370" TargetMode="External"/><Relationship Id="rId373" Type="http://schemas.openxmlformats.org/officeDocument/2006/relationships/hyperlink" Target="https://librodeclientes.com/layout.php?page=client&amp;id=249" TargetMode="External"/><Relationship Id="rId494" Type="http://schemas.openxmlformats.org/officeDocument/2006/relationships/hyperlink" Target="https://librodeclientes.com/layout.php?page=client&amp;id=128" TargetMode="External"/><Relationship Id="rId130" Type="http://schemas.openxmlformats.org/officeDocument/2006/relationships/hyperlink" Target="https://librodeclientes.com/layout.php?page=client&amp;id=492" TargetMode="External"/><Relationship Id="rId251" Type="http://schemas.openxmlformats.org/officeDocument/2006/relationships/hyperlink" Target="https://librodeclientes.com/layout.php?page=client&amp;id=371" TargetMode="External"/><Relationship Id="rId372" Type="http://schemas.openxmlformats.org/officeDocument/2006/relationships/hyperlink" Target="https://librodeclientes.com/layout.php?page=client&amp;id=250" TargetMode="External"/><Relationship Id="rId493" Type="http://schemas.openxmlformats.org/officeDocument/2006/relationships/hyperlink" Target="https://librodeclientes.com/layout.php?page=client&amp;id=129" TargetMode="External"/><Relationship Id="rId250" Type="http://schemas.openxmlformats.org/officeDocument/2006/relationships/hyperlink" Target="https://librodeclientes.com/layout.php?page=client&amp;id=372" TargetMode="External"/><Relationship Id="rId371" Type="http://schemas.openxmlformats.org/officeDocument/2006/relationships/hyperlink" Target="https://librodeclientes.com/layout.php?page=client&amp;id=251" TargetMode="External"/><Relationship Id="rId492" Type="http://schemas.openxmlformats.org/officeDocument/2006/relationships/hyperlink" Target="https://librodeclientes.com/layout.php?page=client&amp;id=130" TargetMode="External"/><Relationship Id="rId136" Type="http://schemas.openxmlformats.org/officeDocument/2006/relationships/hyperlink" Target="https://librodeclientes.com/layout.php?page=client&amp;id=486" TargetMode="External"/><Relationship Id="rId257" Type="http://schemas.openxmlformats.org/officeDocument/2006/relationships/hyperlink" Target="https://librodeclientes.com/layout.php?page=client&amp;id=365" TargetMode="External"/><Relationship Id="rId378" Type="http://schemas.openxmlformats.org/officeDocument/2006/relationships/hyperlink" Target="https://librodeclientes.com/layout.php?page=client&amp;id=244" TargetMode="External"/><Relationship Id="rId499" Type="http://schemas.openxmlformats.org/officeDocument/2006/relationships/hyperlink" Target="https://librodeclientes.com/layout.php?page=client&amp;id=122" TargetMode="External"/><Relationship Id="rId135" Type="http://schemas.openxmlformats.org/officeDocument/2006/relationships/hyperlink" Target="https://librodeclientes.com/layout.php?page=client&amp;id=487" TargetMode="External"/><Relationship Id="rId256" Type="http://schemas.openxmlformats.org/officeDocument/2006/relationships/hyperlink" Target="https://librodeclientes.com/layout.php?page=client&amp;id=366" TargetMode="External"/><Relationship Id="rId377" Type="http://schemas.openxmlformats.org/officeDocument/2006/relationships/hyperlink" Target="https://librodeclientes.com/layout.php?page=client&amp;id=245" TargetMode="External"/><Relationship Id="rId498" Type="http://schemas.openxmlformats.org/officeDocument/2006/relationships/hyperlink" Target="https://librodeclientes.com/layout.php?page=client&amp;id=123" TargetMode="External"/><Relationship Id="rId134" Type="http://schemas.openxmlformats.org/officeDocument/2006/relationships/hyperlink" Target="https://librodeclientes.com/layout.php?page=client&amp;id=488" TargetMode="External"/><Relationship Id="rId255" Type="http://schemas.openxmlformats.org/officeDocument/2006/relationships/hyperlink" Target="https://librodeclientes.com/layout.php?page=client&amp;id=367" TargetMode="External"/><Relationship Id="rId376" Type="http://schemas.openxmlformats.org/officeDocument/2006/relationships/hyperlink" Target="https://librodeclientes.com/layout.php?page=client&amp;id=246" TargetMode="External"/><Relationship Id="rId497" Type="http://schemas.openxmlformats.org/officeDocument/2006/relationships/hyperlink" Target="https://librodeclientes.com/layout.php?page=client&amp;id=124" TargetMode="External"/><Relationship Id="rId133" Type="http://schemas.openxmlformats.org/officeDocument/2006/relationships/hyperlink" Target="https://librodeclientes.com/layout.php?page=client&amp;id=489" TargetMode="External"/><Relationship Id="rId254" Type="http://schemas.openxmlformats.org/officeDocument/2006/relationships/hyperlink" Target="https://librodeclientes.com/layout.php?page=client&amp;id=368" TargetMode="External"/><Relationship Id="rId375" Type="http://schemas.openxmlformats.org/officeDocument/2006/relationships/hyperlink" Target="https://librodeclientes.com/layout.php?page=client&amp;id=247" TargetMode="External"/><Relationship Id="rId496" Type="http://schemas.openxmlformats.org/officeDocument/2006/relationships/hyperlink" Target="https://librodeclientes.com/layout.php?page=client&amp;id=125" TargetMode="External"/><Relationship Id="rId172" Type="http://schemas.openxmlformats.org/officeDocument/2006/relationships/hyperlink" Target="https://librodeclientes.com/layout.php?page=client&amp;id=450" TargetMode="External"/><Relationship Id="rId293" Type="http://schemas.openxmlformats.org/officeDocument/2006/relationships/hyperlink" Target="https://librodeclientes.com/layout.php?page=client&amp;id=329" TargetMode="External"/><Relationship Id="rId171" Type="http://schemas.openxmlformats.org/officeDocument/2006/relationships/hyperlink" Target="https://librodeclientes.com/layout.php?page=client&amp;id=451" TargetMode="External"/><Relationship Id="rId292" Type="http://schemas.openxmlformats.org/officeDocument/2006/relationships/hyperlink" Target="https://librodeclientes.com/layout.php?page=client&amp;id=330" TargetMode="External"/><Relationship Id="rId170" Type="http://schemas.openxmlformats.org/officeDocument/2006/relationships/hyperlink" Target="https://librodeclientes.com/layout.php?page=client&amp;id=452" TargetMode="External"/><Relationship Id="rId291" Type="http://schemas.openxmlformats.org/officeDocument/2006/relationships/hyperlink" Target="https://librodeclientes.com/layout.php?page=client&amp;id=331" TargetMode="External"/><Relationship Id="rId290" Type="http://schemas.openxmlformats.org/officeDocument/2006/relationships/hyperlink" Target="https://librodeclientes.com/layout.php?page=client&amp;id=332" TargetMode="External"/><Relationship Id="rId165" Type="http://schemas.openxmlformats.org/officeDocument/2006/relationships/hyperlink" Target="https://librodeclientes.com/layout.php?page=client&amp;id=457" TargetMode="External"/><Relationship Id="rId286" Type="http://schemas.openxmlformats.org/officeDocument/2006/relationships/hyperlink" Target="https://librodeclientes.com/layout.php?page=client&amp;id=336" TargetMode="External"/><Relationship Id="rId164" Type="http://schemas.openxmlformats.org/officeDocument/2006/relationships/hyperlink" Target="https://librodeclientes.com/layout.php?page=client&amp;id=458" TargetMode="External"/><Relationship Id="rId285" Type="http://schemas.openxmlformats.org/officeDocument/2006/relationships/hyperlink" Target="https://librodeclientes.com/layout.php?page=client&amp;id=337" TargetMode="External"/><Relationship Id="rId163" Type="http://schemas.openxmlformats.org/officeDocument/2006/relationships/hyperlink" Target="https://librodeclientes.com/layout.php?page=client&amp;id=459" TargetMode="External"/><Relationship Id="rId284" Type="http://schemas.openxmlformats.org/officeDocument/2006/relationships/hyperlink" Target="https://librodeclientes.com/layout.php?page=client&amp;id=338" TargetMode="External"/><Relationship Id="rId162" Type="http://schemas.openxmlformats.org/officeDocument/2006/relationships/hyperlink" Target="https://librodeclientes.com/layout.php?page=client&amp;id=460" TargetMode="External"/><Relationship Id="rId283" Type="http://schemas.openxmlformats.org/officeDocument/2006/relationships/hyperlink" Target="https://librodeclientes.com/layout.php?page=client&amp;id=339" TargetMode="External"/><Relationship Id="rId169" Type="http://schemas.openxmlformats.org/officeDocument/2006/relationships/hyperlink" Target="https://librodeclientes.com/layout.php?page=client&amp;id=453" TargetMode="External"/><Relationship Id="rId168" Type="http://schemas.openxmlformats.org/officeDocument/2006/relationships/hyperlink" Target="https://librodeclientes.com/layout.php?page=client&amp;id=454" TargetMode="External"/><Relationship Id="rId289" Type="http://schemas.openxmlformats.org/officeDocument/2006/relationships/hyperlink" Target="https://librodeclientes.com/layout.php?page=client&amp;id=333" TargetMode="External"/><Relationship Id="rId167" Type="http://schemas.openxmlformats.org/officeDocument/2006/relationships/hyperlink" Target="https://librodeclientes.com/layout.php?page=client&amp;id=455" TargetMode="External"/><Relationship Id="rId288" Type="http://schemas.openxmlformats.org/officeDocument/2006/relationships/hyperlink" Target="https://librodeclientes.com/layout.php?page=client&amp;id=334" TargetMode="External"/><Relationship Id="rId166" Type="http://schemas.openxmlformats.org/officeDocument/2006/relationships/hyperlink" Target="https://librodeclientes.com/layout.php?page=client&amp;id=456" TargetMode="External"/><Relationship Id="rId287" Type="http://schemas.openxmlformats.org/officeDocument/2006/relationships/hyperlink" Target="https://librodeclientes.com/layout.php?page=client&amp;id=335" TargetMode="External"/><Relationship Id="rId161" Type="http://schemas.openxmlformats.org/officeDocument/2006/relationships/hyperlink" Target="https://librodeclientes.com/layout.php?page=client&amp;id=461" TargetMode="External"/><Relationship Id="rId282" Type="http://schemas.openxmlformats.org/officeDocument/2006/relationships/hyperlink" Target="https://librodeclientes.com/layout.php?page=client&amp;id=340" TargetMode="External"/><Relationship Id="rId160" Type="http://schemas.openxmlformats.org/officeDocument/2006/relationships/hyperlink" Target="https://librodeclientes.com/layout.php?page=client&amp;id=462" TargetMode="External"/><Relationship Id="rId281" Type="http://schemas.openxmlformats.org/officeDocument/2006/relationships/hyperlink" Target="https://librodeclientes.com/layout.php?page=client&amp;id=341" TargetMode="External"/><Relationship Id="rId280" Type="http://schemas.openxmlformats.org/officeDocument/2006/relationships/hyperlink" Target="https://librodeclientes.com/layout.php?page=client&amp;id=342" TargetMode="External"/><Relationship Id="rId159" Type="http://schemas.openxmlformats.org/officeDocument/2006/relationships/hyperlink" Target="https://librodeclientes.com/layout.php?page=client&amp;id=463" TargetMode="External"/><Relationship Id="rId154" Type="http://schemas.openxmlformats.org/officeDocument/2006/relationships/hyperlink" Target="https://librodeclientes.com/layout.php?page=client&amp;id=468" TargetMode="External"/><Relationship Id="rId275" Type="http://schemas.openxmlformats.org/officeDocument/2006/relationships/hyperlink" Target="https://librodeclientes.com/layout.php?page=client&amp;id=347" TargetMode="External"/><Relationship Id="rId396" Type="http://schemas.openxmlformats.org/officeDocument/2006/relationships/hyperlink" Target="https://librodeclientes.com/layout.php?page=client&amp;id=226" TargetMode="External"/><Relationship Id="rId153" Type="http://schemas.openxmlformats.org/officeDocument/2006/relationships/hyperlink" Target="https://librodeclientes.com/layout.php?page=client&amp;id=469" TargetMode="External"/><Relationship Id="rId274" Type="http://schemas.openxmlformats.org/officeDocument/2006/relationships/hyperlink" Target="https://librodeclientes.com/layout.php?page=client&amp;id=348" TargetMode="External"/><Relationship Id="rId395" Type="http://schemas.openxmlformats.org/officeDocument/2006/relationships/hyperlink" Target="https://librodeclientes.com/layout.php?page=client&amp;id=227" TargetMode="External"/><Relationship Id="rId152" Type="http://schemas.openxmlformats.org/officeDocument/2006/relationships/hyperlink" Target="https://librodeclientes.com/layout.php?page=client&amp;id=470" TargetMode="External"/><Relationship Id="rId273" Type="http://schemas.openxmlformats.org/officeDocument/2006/relationships/hyperlink" Target="https://librodeclientes.com/layout.php?page=client&amp;id=349" TargetMode="External"/><Relationship Id="rId394" Type="http://schemas.openxmlformats.org/officeDocument/2006/relationships/hyperlink" Target="https://librodeclientes.com/layout.php?page=client&amp;id=228" TargetMode="External"/><Relationship Id="rId151" Type="http://schemas.openxmlformats.org/officeDocument/2006/relationships/hyperlink" Target="https://librodeclientes.com/layout.php?page=client&amp;id=471" TargetMode="External"/><Relationship Id="rId272" Type="http://schemas.openxmlformats.org/officeDocument/2006/relationships/hyperlink" Target="https://librodeclientes.com/layout.php?page=client&amp;id=350" TargetMode="External"/><Relationship Id="rId393" Type="http://schemas.openxmlformats.org/officeDocument/2006/relationships/hyperlink" Target="https://librodeclientes.com/layout.php?page=client&amp;id=229" TargetMode="External"/><Relationship Id="rId158" Type="http://schemas.openxmlformats.org/officeDocument/2006/relationships/hyperlink" Target="https://librodeclientes.com/layout.php?page=client&amp;id=464" TargetMode="External"/><Relationship Id="rId279" Type="http://schemas.openxmlformats.org/officeDocument/2006/relationships/hyperlink" Target="https://librodeclientes.com/layout.php?page=client&amp;id=343" TargetMode="External"/><Relationship Id="rId157" Type="http://schemas.openxmlformats.org/officeDocument/2006/relationships/hyperlink" Target="https://librodeclientes.com/layout.php?page=client&amp;id=465" TargetMode="External"/><Relationship Id="rId278" Type="http://schemas.openxmlformats.org/officeDocument/2006/relationships/hyperlink" Target="https://librodeclientes.com/layout.php?page=client&amp;id=344" TargetMode="External"/><Relationship Id="rId399" Type="http://schemas.openxmlformats.org/officeDocument/2006/relationships/hyperlink" Target="https://librodeclientes.com/layout.php?page=client&amp;id=223" TargetMode="External"/><Relationship Id="rId156" Type="http://schemas.openxmlformats.org/officeDocument/2006/relationships/hyperlink" Target="https://librodeclientes.com/layout.php?page=client&amp;id=466" TargetMode="External"/><Relationship Id="rId277" Type="http://schemas.openxmlformats.org/officeDocument/2006/relationships/hyperlink" Target="https://librodeclientes.com/layout.php?page=client&amp;id=345" TargetMode="External"/><Relationship Id="rId398" Type="http://schemas.openxmlformats.org/officeDocument/2006/relationships/hyperlink" Target="https://librodeclientes.com/layout.php?page=client&amp;id=224" TargetMode="External"/><Relationship Id="rId155" Type="http://schemas.openxmlformats.org/officeDocument/2006/relationships/hyperlink" Target="https://librodeclientes.com/layout.php?page=client&amp;id=467" TargetMode="External"/><Relationship Id="rId276" Type="http://schemas.openxmlformats.org/officeDocument/2006/relationships/hyperlink" Target="https://librodeclientes.com/layout.php?page=client&amp;id=346" TargetMode="External"/><Relationship Id="rId397" Type="http://schemas.openxmlformats.org/officeDocument/2006/relationships/hyperlink" Target="https://librodeclientes.com/layout.php?page=client&amp;id=225" TargetMode="External"/><Relationship Id="rId40" Type="http://schemas.openxmlformats.org/officeDocument/2006/relationships/hyperlink" Target="https://librodeclientes.com/layout.php?page=client&amp;id=582" TargetMode="External"/><Relationship Id="rId42" Type="http://schemas.openxmlformats.org/officeDocument/2006/relationships/hyperlink" Target="https://librodeclientes.com/layout.php?page=client&amp;id=580" TargetMode="External"/><Relationship Id="rId41" Type="http://schemas.openxmlformats.org/officeDocument/2006/relationships/hyperlink" Target="https://librodeclientes.com/layout.php?page=client&amp;id=581" TargetMode="External"/><Relationship Id="rId44" Type="http://schemas.openxmlformats.org/officeDocument/2006/relationships/hyperlink" Target="https://librodeclientes.com/layout.php?page=client&amp;id=578" TargetMode="External"/><Relationship Id="rId43" Type="http://schemas.openxmlformats.org/officeDocument/2006/relationships/hyperlink" Target="https://librodeclientes.com/layout.php?page=client&amp;id=579" TargetMode="External"/><Relationship Id="rId46" Type="http://schemas.openxmlformats.org/officeDocument/2006/relationships/hyperlink" Target="https://librodeclientes.com/layout.php?page=client&amp;id=576" TargetMode="External"/><Relationship Id="rId45" Type="http://schemas.openxmlformats.org/officeDocument/2006/relationships/hyperlink" Target="https://librodeclientes.com/layout.php?page=client&amp;id=577" TargetMode="External"/><Relationship Id="rId509" Type="http://schemas.openxmlformats.org/officeDocument/2006/relationships/hyperlink" Target="https://librodeclientes.com/layout.php?page=client&amp;id=112" TargetMode="External"/><Relationship Id="rId508" Type="http://schemas.openxmlformats.org/officeDocument/2006/relationships/hyperlink" Target="https://librodeclientes.com/layout.php?page=client&amp;id=113" TargetMode="External"/><Relationship Id="rId503" Type="http://schemas.openxmlformats.org/officeDocument/2006/relationships/hyperlink" Target="https://librodeclientes.com/layout.php?page=client&amp;id=118" TargetMode="External"/><Relationship Id="rId502" Type="http://schemas.openxmlformats.org/officeDocument/2006/relationships/hyperlink" Target="https://librodeclientes.com/layout.php?page=client&amp;id=119" TargetMode="External"/><Relationship Id="rId501" Type="http://schemas.openxmlformats.org/officeDocument/2006/relationships/hyperlink" Target="https://librodeclientes.com/layout.php?page=client&amp;id=120" TargetMode="External"/><Relationship Id="rId500" Type="http://schemas.openxmlformats.org/officeDocument/2006/relationships/hyperlink" Target="https://librodeclientes.com/layout.php?page=client&amp;id=121" TargetMode="External"/><Relationship Id="rId507" Type="http://schemas.openxmlformats.org/officeDocument/2006/relationships/hyperlink" Target="https://librodeclientes.com/layout.php?page=client&amp;id=114" TargetMode="External"/><Relationship Id="rId506" Type="http://schemas.openxmlformats.org/officeDocument/2006/relationships/hyperlink" Target="https://librodeclientes.com/layout.php?page=client&amp;id=115" TargetMode="External"/><Relationship Id="rId505" Type="http://schemas.openxmlformats.org/officeDocument/2006/relationships/hyperlink" Target="https://librodeclientes.com/layout.php?page=client&amp;id=116" TargetMode="External"/><Relationship Id="rId504" Type="http://schemas.openxmlformats.org/officeDocument/2006/relationships/hyperlink" Target="https://librodeclientes.com/layout.php?page=client&amp;id=117" TargetMode="External"/><Relationship Id="rId48" Type="http://schemas.openxmlformats.org/officeDocument/2006/relationships/hyperlink" Target="https://librodeclientes.com/layout.php?page=client&amp;id=574" TargetMode="External"/><Relationship Id="rId47" Type="http://schemas.openxmlformats.org/officeDocument/2006/relationships/hyperlink" Target="https://librodeclientes.com/layout.php?page=client&amp;id=575" TargetMode="External"/><Relationship Id="rId49" Type="http://schemas.openxmlformats.org/officeDocument/2006/relationships/hyperlink" Target="https://librodeclientes.com/layout.php?page=client&amp;id=573" TargetMode="External"/><Relationship Id="rId31" Type="http://schemas.openxmlformats.org/officeDocument/2006/relationships/hyperlink" Target="https://librodeclientes.com/layout.php?page=client&amp;id=591" TargetMode="External"/><Relationship Id="rId30" Type="http://schemas.openxmlformats.org/officeDocument/2006/relationships/hyperlink" Target="https://librodeclientes.com/layout.php?page=client&amp;id=592" TargetMode="External"/><Relationship Id="rId33" Type="http://schemas.openxmlformats.org/officeDocument/2006/relationships/hyperlink" Target="https://librodeclientes.com/layout.php?page=client&amp;id=589" TargetMode="External"/><Relationship Id="rId32" Type="http://schemas.openxmlformats.org/officeDocument/2006/relationships/hyperlink" Target="https://librodeclientes.com/layout.php?page=client&amp;id=590" TargetMode="External"/><Relationship Id="rId35" Type="http://schemas.openxmlformats.org/officeDocument/2006/relationships/hyperlink" Target="https://librodeclientes.com/layout.php?page=client&amp;id=587" TargetMode="External"/><Relationship Id="rId34" Type="http://schemas.openxmlformats.org/officeDocument/2006/relationships/hyperlink" Target="https://librodeclientes.com/layout.php?page=client&amp;id=588" TargetMode="External"/><Relationship Id="rId613" Type="http://schemas.openxmlformats.org/officeDocument/2006/relationships/hyperlink" Target="https://librodeclientes.com/layout.php?page=client&amp;id=5" TargetMode="External"/><Relationship Id="rId612" Type="http://schemas.openxmlformats.org/officeDocument/2006/relationships/hyperlink" Target="https://librodeclientes.com/layout.php?page=client&amp;id=7" TargetMode="External"/><Relationship Id="rId611" Type="http://schemas.openxmlformats.org/officeDocument/2006/relationships/hyperlink" Target="https://librodeclientes.com/layout.php?page=client&amp;id=8" TargetMode="External"/><Relationship Id="rId610" Type="http://schemas.openxmlformats.org/officeDocument/2006/relationships/hyperlink" Target="https://librodeclientes.com/layout.php?page=client&amp;id=9" TargetMode="External"/><Relationship Id="rId616" Type="http://schemas.openxmlformats.org/officeDocument/2006/relationships/drawing" Target="../drawings/drawing1.xml"/><Relationship Id="rId615" Type="http://schemas.openxmlformats.org/officeDocument/2006/relationships/hyperlink" Target="https://librodeclientes.com/layout.php?page=client&amp;id=3" TargetMode="External"/><Relationship Id="rId614" Type="http://schemas.openxmlformats.org/officeDocument/2006/relationships/hyperlink" Target="https://librodeclientes.com/layout.php?page=client&amp;id=4" TargetMode="External"/><Relationship Id="rId37" Type="http://schemas.openxmlformats.org/officeDocument/2006/relationships/hyperlink" Target="https://librodeclientes.com/layout.php?page=client&amp;id=585" TargetMode="External"/><Relationship Id="rId36" Type="http://schemas.openxmlformats.org/officeDocument/2006/relationships/hyperlink" Target="https://librodeclientes.com/layout.php?page=client&amp;id=586" TargetMode="External"/><Relationship Id="rId39" Type="http://schemas.openxmlformats.org/officeDocument/2006/relationships/hyperlink" Target="https://librodeclientes.com/layout.php?page=client&amp;id=583" TargetMode="External"/><Relationship Id="rId38" Type="http://schemas.openxmlformats.org/officeDocument/2006/relationships/hyperlink" Target="https://librodeclientes.com/layout.php?page=client&amp;id=584" TargetMode="External"/><Relationship Id="rId20" Type="http://schemas.openxmlformats.org/officeDocument/2006/relationships/hyperlink" Target="https://librodeclientes.com/layout.php?page=client&amp;id=601" TargetMode="External"/><Relationship Id="rId22" Type="http://schemas.openxmlformats.org/officeDocument/2006/relationships/hyperlink" Target="https://librodeclientes.com/layout.php?page=client&amp;id=599" TargetMode="External"/><Relationship Id="rId21" Type="http://schemas.openxmlformats.org/officeDocument/2006/relationships/hyperlink" Target="https://librodeclientes.com/layout.php?page=client&amp;id=600" TargetMode="External"/><Relationship Id="rId24" Type="http://schemas.openxmlformats.org/officeDocument/2006/relationships/hyperlink" Target="https://librodeclientes.com/layout.php?page=client&amp;id=597" TargetMode="External"/><Relationship Id="rId23" Type="http://schemas.openxmlformats.org/officeDocument/2006/relationships/hyperlink" Target="https://librodeclientes.com/layout.php?page=client&amp;id=598" TargetMode="External"/><Relationship Id="rId409" Type="http://schemas.openxmlformats.org/officeDocument/2006/relationships/hyperlink" Target="https://librodeclientes.com/layout.php?page=client&amp;id=213" TargetMode="External"/><Relationship Id="rId404" Type="http://schemas.openxmlformats.org/officeDocument/2006/relationships/hyperlink" Target="https://librodeclientes.com/layout.php?page=client&amp;id=218" TargetMode="External"/><Relationship Id="rId525" Type="http://schemas.openxmlformats.org/officeDocument/2006/relationships/hyperlink" Target="https://librodeclientes.com/layout.php?page=client&amp;id=96" TargetMode="External"/><Relationship Id="rId403" Type="http://schemas.openxmlformats.org/officeDocument/2006/relationships/hyperlink" Target="https://librodeclientes.com/layout.php?page=client&amp;id=219" TargetMode="External"/><Relationship Id="rId524" Type="http://schemas.openxmlformats.org/officeDocument/2006/relationships/hyperlink" Target="https://librodeclientes.com/layout.php?page=client&amp;id=97" TargetMode="External"/><Relationship Id="rId402" Type="http://schemas.openxmlformats.org/officeDocument/2006/relationships/hyperlink" Target="https://librodeclientes.com/layout.php?page=client&amp;id=220" TargetMode="External"/><Relationship Id="rId523" Type="http://schemas.openxmlformats.org/officeDocument/2006/relationships/hyperlink" Target="https://librodeclientes.com/layout.php?page=client&amp;id=98" TargetMode="External"/><Relationship Id="rId401" Type="http://schemas.openxmlformats.org/officeDocument/2006/relationships/hyperlink" Target="https://librodeclientes.com/layout.php?page=client&amp;id=221" TargetMode="External"/><Relationship Id="rId522" Type="http://schemas.openxmlformats.org/officeDocument/2006/relationships/hyperlink" Target="https://librodeclientes.com/layout.php?page=client&amp;id=99" TargetMode="External"/><Relationship Id="rId408" Type="http://schemas.openxmlformats.org/officeDocument/2006/relationships/hyperlink" Target="https://librodeclientes.com/layout.php?page=client&amp;id=214" TargetMode="External"/><Relationship Id="rId529" Type="http://schemas.openxmlformats.org/officeDocument/2006/relationships/hyperlink" Target="https://librodeclientes.com/layout.php?page=client&amp;id=92" TargetMode="External"/><Relationship Id="rId407" Type="http://schemas.openxmlformats.org/officeDocument/2006/relationships/hyperlink" Target="https://librodeclientes.com/layout.php?page=client&amp;id=215" TargetMode="External"/><Relationship Id="rId528" Type="http://schemas.openxmlformats.org/officeDocument/2006/relationships/hyperlink" Target="https://librodeclientes.com/layout.php?page=client&amp;id=93" TargetMode="External"/><Relationship Id="rId406" Type="http://schemas.openxmlformats.org/officeDocument/2006/relationships/hyperlink" Target="https://librodeclientes.com/layout.php?page=client&amp;id=216" TargetMode="External"/><Relationship Id="rId527" Type="http://schemas.openxmlformats.org/officeDocument/2006/relationships/hyperlink" Target="https://librodeclientes.com/layout.php?page=client&amp;id=94" TargetMode="External"/><Relationship Id="rId405" Type="http://schemas.openxmlformats.org/officeDocument/2006/relationships/hyperlink" Target="https://librodeclientes.com/layout.php?page=client&amp;id=217" TargetMode="External"/><Relationship Id="rId526" Type="http://schemas.openxmlformats.org/officeDocument/2006/relationships/hyperlink" Target="https://librodeclientes.com/layout.php?page=client&amp;id=95" TargetMode="External"/><Relationship Id="rId26" Type="http://schemas.openxmlformats.org/officeDocument/2006/relationships/hyperlink" Target="https://librodeclientes.com/layout.php?page=client&amp;id=595" TargetMode="External"/><Relationship Id="rId25" Type="http://schemas.openxmlformats.org/officeDocument/2006/relationships/hyperlink" Target="https://librodeclientes.com/layout.php?page=client&amp;id=596" TargetMode="External"/><Relationship Id="rId28" Type="http://schemas.openxmlformats.org/officeDocument/2006/relationships/hyperlink" Target="http://gmail.com" TargetMode="External"/><Relationship Id="rId27" Type="http://schemas.openxmlformats.org/officeDocument/2006/relationships/hyperlink" Target="https://librodeclientes.com/layout.php?page=client&amp;id=594" TargetMode="External"/><Relationship Id="rId400" Type="http://schemas.openxmlformats.org/officeDocument/2006/relationships/hyperlink" Target="https://librodeclientes.com/layout.php?page=client&amp;id=222" TargetMode="External"/><Relationship Id="rId521" Type="http://schemas.openxmlformats.org/officeDocument/2006/relationships/hyperlink" Target="https://librodeclientes.com/layout.php?page=client&amp;id=100" TargetMode="External"/><Relationship Id="rId29" Type="http://schemas.openxmlformats.org/officeDocument/2006/relationships/hyperlink" Target="https://librodeclientes.com/layout.php?page=client&amp;id=593" TargetMode="External"/><Relationship Id="rId520" Type="http://schemas.openxmlformats.org/officeDocument/2006/relationships/hyperlink" Target="https://librodeclientes.com/layout.php?page=client&amp;id=101" TargetMode="External"/><Relationship Id="rId11" Type="http://schemas.openxmlformats.org/officeDocument/2006/relationships/hyperlink" Target="https://librodeclientes.com/layout.php?page=client&amp;id=610" TargetMode="External"/><Relationship Id="rId10" Type="http://schemas.openxmlformats.org/officeDocument/2006/relationships/hyperlink" Target="https://librodeclientes.com/layout.php?page=client&amp;id=611" TargetMode="External"/><Relationship Id="rId13" Type="http://schemas.openxmlformats.org/officeDocument/2006/relationships/hyperlink" Target="https://librodeclientes.com/layout.php?page=client&amp;id=608" TargetMode="External"/><Relationship Id="rId12" Type="http://schemas.openxmlformats.org/officeDocument/2006/relationships/hyperlink" Target="https://librodeclientes.com/layout.php?page=client&amp;id=609" TargetMode="External"/><Relationship Id="rId519" Type="http://schemas.openxmlformats.org/officeDocument/2006/relationships/hyperlink" Target="https://librodeclientes.com/layout.php?page=client&amp;id=102" TargetMode="External"/><Relationship Id="rId514" Type="http://schemas.openxmlformats.org/officeDocument/2006/relationships/hyperlink" Target="https://librodeclientes.com/layout.php?page=client&amp;id=107" TargetMode="External"/><Relationship Id="rId513" Type="http://schemas.openxmlformats.org/officeDocument/2006/relationships/hyperlink" Target="https://librodeclientes.com/layout.php?page=client&amp;id=108" TargetMode="External"/><Relationship Id="rId512" Type="http://schemas.openxmlformats.org/officeDocument/2006/relationships/hyperlink" Target="https://librodeclientes.com/layout.php?page=client&amp;id=109" TargetMode="External"/><Relationship Id="rId511" Type="http://schemas.openxmlformats.org/officeDocument/2006/relationships/hyperlink" Target="https://librodeclientes.com/layout.php?page=client&amp;id=110" TargetMode="External"/><Relationship Id="rId518" Type="http://schemas.openxmlformats.org/officeDocument/2006/relationships/hyperlink" Target="https://librodeclientes.com/layout.php?page=client&amp;id=103" TargetMode="External"/><Relationship Id="rId517" Type="http://schemas.openxmlformats.org/officeDocument/2006/relationships/hyperlink" Target="https://librodeclientes.com/layout.php?page=client&amp;id=104" TargetMode="External"/><Relationship Id="rId516" Type="http://schemas.openxmlformats.org/officeDocument/2006/relationships/hyperlink" Target="https://librodeclientes.com/layout.php?page=client&amp;id=105" TargetMode="External"/><Relationship Id="rId515" Type="http://schemas.openxmlformats.org/officeDocument/2006/relationships/hyperlink" Target="https://librodeclientes.com/layout.php?page=client&amp;id=106" TargetMode="External"/><Relationship Id="rId15" Type="http://schemas.openxmlformats.org/officeDocument/2006/relationships/hyperlink" Target="https://librodeclientes.com/layout.php?page=client&amp;id=606" TargetMode="External"/><Relationship Id="rId14" Type="http://schemas.openxmlformats.org/officeDocument/2006/relationships/hyperlink" Target="https://librodeclientes.com/layout.php?page=client&amp;id=607" TargetMode="External"/><Relationship Id="rId17" Type="http://schemas.openxmlformats.org/officeDocument/2006/relationships/hyperlink" Target="https://librodeclientes.com/layout.php?page=client&amp;id=604" TargetMode="External"/><Relationship Id="rId16" Type="http://schemas.openxmlformats.org/officeDocument/2006/relationships/hyperlink" Target="https://librodeclientes.com/layout.php?page=client&amp;id=605" TargetMode="External"/><Relationship Id="rId19" Type="http://schemas.openxmlformats.org/officeDocument/2006/relationships/hyperlink" Target="https://librodeclientes.com/layout.php?page=client&amp;id=602" TargetMode="External"/><Relationship Id="rId510" Type="http://schemas.openxmlformats.org/officeDocument/2006/relationships/hyperlink" Target="https://librodeclientes.com/layout.php?page=client&amp;id=111" TargetMode="External"/><Relationship Id="rId18" Type="http://schemas.openxmlformats.org/officeDocument/2006/relationships/hyperlink" Target="https://librodeclientes.com/layout.php?page=client&amp;id=603" TargetMode="External"/><Relationship Id="rId84" Type="http://schemas.openxmlformats.org/officeDocument/2006/relationships/hyperlink" Target="https://librodeclientes.com/layout.php?page=client&amp;id=538" TargetMode="External"/><Relationship Id="rId83" Type="http://schemas.openxmlformats.org/officeDocument/2006/relationships/hyperlink" Target="https://librodeclientes.com/layout.php?page=client&amp;id=539" TargetMode="External"/><Relationship Id="rId86" Type="http://schemas.openxmlformats.org/officeDocument/2006/relationships/hyperlink" Target="https://librodeclientes.com/layout.php?page=client&amp;id=536" TargetMode="External"/><Relationship Id="rId85" Type="http://schemas.openxmlformats.org/officeDocument/2006/relationships/hyperlink" Target="https://librodeclientes.com/layout.php?page=client&amp;id=537" TargetMode="External"/><Relationship Id="rId88" Type="http://schemas.openxmlformats.org/officeDocument/2006/relationships/hyperlink" Target="https://librodeclientes.com/layout.php?page=client&amp;id=534" TargetMode="External"/><Relationship Id="rId87" Type="http://schemas.openxmlformats.org/officeDocument/2006/relationships/hyperlink" Target="https://librodeclientes.com/layout.php?page=client&amp;id=535" TargetMode="External"/><Relationship Id="rId89" Type="http://schemas.openxmlformats.org/officeDocument/2006/relationships/hyperlink" Target="https://librodeclientes.com/layout.php?page=client&amp;id=533" TargetMode="External"/><Relationship Id="rId80" Type="http://schemas.openxmlformats.org/officeDocument/2006/relationships/hyperlink" Target="https://librodeclientes.com/layout.php?page=client&amp;id=542" TargetMode="External"/><Relationship Id="rId82" Type="http://schemas.openxmlformats.org/officeDocument/2006/relationships/hyperlink" Target="https://librodeclientes.com/layout.php?page=client&amp;id=540" TargetMode="External"/><Relationship Id="rId81" Type="http://schemas.openxmlformats.org/officeDocument/2006/relationships/hyperlink" Target="https://librodeclientes.com/layout.php?page=client&amp;id=541" TargetMode="External"/><Relationship Id="rId73" Type="http://schemas.openxmlformats.org/officeDocument/2006/relationships/hyperlink" Target="https://librodeclientes.com/layout.php?page=client&amp;id=549" TargetMode="External"/><Relationship Id="rId72" Type="http://schemas.openxmlformats.org/officeDocument/2006/relationships/hyperlink" Target="https://librodeclientes.com/layout.php?page=client&amp;id=550" TargetMode="External"/><Relationship Id="rId75" Type="http://schemas.openxmlformats.org/officeDocument/2006/relationships/hyperlink" Target="https://librodeclientes.com/layout.php?page=client&amp;id=547" TargetMode="External"/><Relationship Id="rId74" Type="http://schemas.openxmlformats.org/officeDocument/2006/relationships/hyperlink" Target="https://librodeclientes.com/layout.php?page=client&amp;id=548" TargetMode="External"/><Relationship Id="rId77" Type="http://schemas.openxmlformats.org/officeDocument/2006/relationships/hyperlink" Target="https://librodeclientes.com/layout.php?page=client&amp;id=545" TargetMode="External"/><Relationship Id="rId76" Type="http://schemas.openxmlformats.org/officeDocument/2006/relationships/hyperlink" Target="https://librodeclientes.com/layout.php?page=client&amp;id=546" TargetMode="External"/><Relationship Id="rId79" Type="http://schemas.openxmlformats.org/officeDocument/2006/relationships/hyperlink" Target="https://librodeclientes.com/layout.php?page=client&amp;id=543" TargetMode="External"/><Relationship Id="rId78" Type="http://schemas.openxmlformats.org/officeDocument/2006/relationships/hyperlink" Target="https://librodeclientes.com/layout.php?page=client&amp;id=544" TargetMode="External"/><Relationship Id="rId71" Type="http://schemas.openxmlformats.org/officeDocument/2006/relationships/hyperlink" Target="https://librodeclientes.com/layout.php?page=client&amp;id=551" TargetMode="External"/><Relationship Id="rId70" Type="http://schemas.openxmlformats.org/officeDocument/2006/relationships/hyperlink" Target="https://librodeclientes.com/layout.php?page=client&amp;id=552" TargetMode="External"/><Relationship Id="rId62" Type="http://schemas.openxmlformats.org/officeDocument/2006/relationships/hyperlink" Target="https://librodeclientes.com/layout.php?page=client&amp;id=560" TargetMode="External"/><Relationship Id="rId61" Type="http://schemas.openxmlformats.org/officeDocument/2006/relationships/hyperlink" Target="https://librodeclientes.com/layout.php?page=client&amp;id=561" TargetMode="External"/><Relationship Id="rId64" Type="http://schemas.openxmlformats.org/officeDocument/2006/relationships/hyperlink" Target="https://librodeclientes.com/layout.php?page=client&amp;id=558" TargetMode="External"/><Relationship Id="rId63" Type="http://schemas.openxmlformats.org/officeDocument/2006/relationships/hyperlink" Target="https://librodeclientes.com/layout.php?page=client&amp;id=559" TargetMode="External"/><Relationship Id="rId66" Type="http://schemas.openxmlformats.org/officeDocument/2006/relationships/hyperlink" Target="https://librodeclientes.com/layout.php?page=client&amp;id=556" TargetMode="External"/><Relationship Id="rId65" Type="http://schemas.openxmlformats.org/officeDocument/2006/relationships/hyperlink" Target="https://librodeclientes.com/layout.php?page=client&amp;id=557" TargetMode="External"/><Relationship Id="rId68" Type="http://schemas.openxmlformats.org/officeDocument/2006/relationships/hyperlink" Target="https://librodeclientes.com/layout.php?page=client&amp;id=554" TargetMode="External"/><Relationship Id="rId67" Type="http://schemas.openxmlformats.org/officeDocument/2006/relationships/hyperlink" Target="https://librodeclientes.com/layout.php?page=client&amp;id=555" TargetMode="External"/><Relationship Id="rId609" Type="http://schemas.openxmlformats.org/officeDocument/2006/relationships/hyperlink" Target="https://librodeclientes.com/layout.php?page=client&amp;id=10" TargetMode="External"/><Relationship Id="rId608" Type="http://schemas.openxmlformats.org/officeDocument/2006/relationships/hyperlink" Target="https://librodeclientes.com/layout.php?page=client&amp;id=11" TargetMode="External"/><Relationship Id="rId607" Type="http://schemas.openxmlformats.org/officeDocument/2006/relationships/hyperlink" Target="https://librodeclientes.com/layout.php?page=client&amp;id=12" TargetMode="External"/><Relationship Id="rId60" Type="http://schemas.openxmlformats.org/officeDocument/2006/relationships/hyperlink" Target="https://librodeclientes.com/layout.php?page=client&amp;id=562" TargetMode="External"/><Relationship Id="rId602" Type="http://schemas.openxmlformats.org/officeDocument/2006/relationships/hyperlink" Target="https://librodeclientes.com/layout.php?page=client&amp;id=17" TargetMode="External"/><Relationship Id="rId601" Type="http://schemas.openxmlformats.org/officeDocument/2006/relationships/hyperlink" Target="https://librodeclientes.com/layout.php?page=client&amp;id=19" TargetMode="External"/><Relationship Id="rId600" Type="http://schemas.openxmlformats.org/officeDocument/2006/relationships/hyperlink" Target="https://librodeclientes.com/layout.php?page=client&amp;id=20" TargetMode="External"/><Relationship Id="rId606" Type="http://schemas.openxmlformats.org/officeDocument/2006/relationships/hyperlink" Target="https://librodeclientes.com/layout.php?page=client&amp;id=13" TargetMode="External"/><Relationship Id="rId605" Type="http://schemas.openxmlformats.org/officeDocument/2006/relationships/hyperlink" Target="https://librodeclientes.com/layout.php?page=client&amp;id=14" TargetMode="External"/><Relationship Id="rId604" Type="http://schemas.openxmlformats.org/officeDocument/2006/relationships/hyperlink" Target="https://librodeclientes.com/layout.php?page=client&amp;id=15" TargetMode="External"/><Relationship Id="rId603" Type="http://schemas.openxmlformats.org/officeDocument/2006/relationships/hyperlink" Target="https://librodeclientes.com/layout.php?page=client&amp;id=16" TargetMode="External"/><Relationship Id="rId69" Type="http://schemas.openxmlformats.org/officeDocument/2006/relationships/hyperlink" Target="https://librodeclientes.com/layout.php?page=client&amp;id=553" TargetMode="External"/><Relationship Id="rId51" Type="http://schemas.openxmlformats.org/officeDocument/2006/relationships/hyperlink" Target="https://librodeclientes.com/layout.php?page=client&amp;id=571" TargetMode="External"/><Relationship Id="rId50" Type="http://schemas.openxmlformats.org/officeDocument/2006/relationships/hyperlink" Target="https://librodeclientes.com/layout.php?page=client&amp;id=572" TargetMode="External"/><Relationship Id="rId53" Type="http://schemas.openxmlformats.org/officeDocument/2006/relationships/hyperlink" Target="https://librodeclientes.com/layout.php?page=client&amp;id=569" TargetMode="External"/><Relationship Id="rId52" Type="http://schemas.openxmlformats.org/officeDocument/2006/relationships/hyperlink" Target="https://librodeclientes.com/layout.php?page=client&amp;id=570" TargetMode="External"/><Relationship Id="rId55" Type="http://schemas.openxmlformats.org/officeDocument/2006/relationships/hyperlink" Target="https://librodeclientes.com/layout.php?page=client&amp;id=567" TargetMode="External"/><Relationship Id="rId54" Type="http://schemas.openxmlformats.org/officeDocument/2006/relationships/hyperlink" Target="https://librodeclientes.com/layout.php?page=client&amp;id=568" TargetMode="External"/><Relationship Id="rId57" Type="http://schemas.openxmlformats.org/officeDocument/2006/relationships/hyperlink" Target="https://librodeclientes.com/layout.php?page=client&amp;id=565" TargetMode="External"/><Relationship Id="rId56" Type="http://schemas.openxmlformats.org/officeDocument/2006/relationships/hyperlink" Target="https://librodeclientes.com/layout.php?page=client&amp;id=566" TargetMode="External"/><Relationship Id="rId59" Type="http://schemas.openxmlformats.org/officeDocument/2006/relationships/hyperlink" Target="https://librodeclientes.com/layout.php?page=client&amp;id=563" TargetMode="External"/><Relationship Id="rId58" Type="http://schemas.openxmlformats.org/officeDocument/2006/relationships/hyperlink" Target="https://librodeclientes.com/layout.php?page=client&amp;id=564" TargetMode="External"/><Relationship Id="rId590" Type="http://schemas.openxmlformats.org/officeDocument/2006/relationships/hyperlink" Target="https://librodeclientes.com/layout.php?page=client&amp;id=31" TargetMode="External"/><Relationship Id="rId107" Type="http://schemas.openxmlformats.org/officeDocument/2006/relationships/hyperlink" Target="https://librodeclientes.com/layout.php?page=client&amp;id=515" TargetMode="External"/><Relationship Id="rId228" Type="http://schemas.openxmlformats.org/officeDocument/2006/relationships/hyperlink" Target="https://librodeclientes.com/layout.php?page=client&amp;id=394" TargetMode="External"/><Relationship Id="rId349" Type="http://schemas.openxmlformats.org/officeDocument/2006/relationships/hyperlink" Target="https://librodeclientes.com/layout.php?page=client&amp;id=273" TargetMode="External"/><Relationship Id="rId106" Type="http://schemas.openxmlformats.org/officeDocument/2006/relationships/hyperlink" Target="https://librodeclientes.com/layout.php?page=client&amp;id=516" TargetMode="External"/><Relationship Id="rId227" Type="http://schemas.openxmlformats.org/officeDocument/2006/relationships/hyperlink" Target="https://librodeclientes.com/layout.php?page=client&amp;id=395" TargetMode="External"/><Relationship Id="rId348" Type="http://schemas.openxmlformats.org/officeDocument/2006/relationships/hyperlink" Target="https://librodeclientes.com/layout.php?page=client&amp;id=274" TargetMode="External"/><Relationship Id="rId469" Type="http://schemas.openxmlformats.org/officeDocument/2006/relationships/hyperlink" Target="https://librodeclientes.com/layout.php?page=client&amp;id=153" TargetMode="External"/><Relationship Id="rId105" Type="http://schemas.openxmlformats.org/officeDocument/2006/relationships/hyperlink" Target="https://librodeclientes.com/layout.php?page=client&amp;id=517" TargetMode="External"/><Relationship Id="rId226" Type="http://schemas.openxmlformats.org/officeDocument/2006/relationships/hyperlink" Target="https://librodeclientes.com/layout.php?page=client&amp;id=396" TargetMode="External"/><Relationship Id="rId347" Type="http://schemas.openxmlformats.org/officeDocument/2006/relationships/hyperlink" Target="https://librodeclientes.com/layout.php?page=client&amp;id=275" TargetMode="External"/><Relationship Id="rId468" Type="http://schemas.openxmlformats.org/officeDocument/2006/relationships/hyperlink" Target="https://librodeclientes.com/layout.php?page=client&amp;id=154" TargetMode="External"/><Relationship Id="rId589" Type="http://schemas.openxmlformats.org/officeDocument/2006/relationships/hyperlink" Target="https://librodeclientes.com/layout.php?page=client&amp;id=32" TargetMode="External"/><Relationship Id="rId104" Type="http://schemas.openxmlformats.org/officeDocument/2006/relationships/hyperlink" Target="https://librodeclientes.com/layout.php?page=client&amp;id=518" TargetMode="External"/><Relationship Id="rId225" Type="http://schemas.openxmlformats.org/officeDocument/2006/relationships/hyperlink" Target="https://librodeclientes.com/layout.php?page=client&amp;id=397" TargetMode="External"/><Relationship Id="rId346" Type="http://schemas.openxmlformats.org/officeDocument/2006/relationships/hyperlink" Target="https://librodeclientes.com/layout.php?page=client&amp;id=276" TargetMode="External"/><Relationship Id="rId467" Type="http://schemas.openxmlformats.org/officeDocument/2006/relationships/hyperlink" Target="https://librodeclientes.com/layout.php?page=client&amp;id=155" TargetMode="External"/><Relationship Id="rId588" Type="http://schemas.openxmlformats.org/officeDocument/2006/relationships/hyperlink" Target="http://avg72hotmail.com" TargetMode="External"/><Relationship Id="rId109" Type="http://schemas.openxmlformats.org/officeDocument/2006/relationships/hyperlink" Target="https://librodeclientes.com/layout.php?page=client&amp;id=513" TargetMode="External"/><Relationship Id="rId108" Type="http://schemas.openxmlformats.org/officeDocument/2006/relationships/hyperlink" Target="https://librodeclientes.com/layout.php?page=client&amp;id=514" TargetMode="External"/><Relationship Id="rId229" Type="http://schemas.openxmlformats.org/officeDocument/2006/relationships/hyperlink" Target="https://librodeclientes.com/layout.php?page=client&amp;id=393" TargetMode="External"/><Relationship Id="rId220" Type="http://schemas.openxmlformats.org/officeDocument/2006/relationships/hyperlink" Target="https://librodeclientes.com/layout.php?page=client&amp;id=402" TargetMode="External"/><Relationship Id="rId341" Type="http://schemas.openxmlformats.org/officeDocument/2006/relationships/hyperlink" Target="https://librodeclientes.com/layout.php?page=client&amp;id=281" TargetMode="External"/><Relationship Id="rId462" Type="http://schemas.openxmlformats.org/officeDocument/2006/relationships/hyperlink" Target="https://librodeclientes.com/layout.php?page=client&amp;id=160" TargetMode="External"/><Relationship Id="rId583" Type="http://schemas.openxmlformats.org/officeDocument/2006/relationships/hyperlink" Target="https://librodeclientes.com/layout.php?page=client&amp;id=37" TargetMode="External"/><Relationship Id="rId340" Type="http://schemas.openxmlformats.org/officeDocument/2006/relationships/hyperlink" Target="https://librodeclientes.com/layout.php?page=client&amp;id=282" TargetMode="External"/><Relationship Id="rId461" Type="http://schemas.openxmlformats.org/officeDocument/2006/relationships/hyperlink" Target="https://librodeclientes.com/layout.php?page=client&amp;id=161" TargetMode="External"/><Relationship Id="rId582" Type="http://schemas.openxmlformats.org/officeDocument/2006/relationships/hyperlink" Target="https://librodeclientes.com/layout.php?page=client&amp;id=38" TargetMode="External"/><Relationship Id="rId460" Type="http://schemas.openxmlformats.org/officeDocument/2006/relationships/hyperlink" Target="https://librodeclientes.com/layout.php?page=client&amp;id=162" TargetMode="External"/><Relationship Id="rId581" Type="http://schemas.openxmlformats.org/officeDocument/2006/relationships/hyperlink" Target="https://librodeclientes.com/layout.php?page=client&amp;id=39" TargetMode="External"/><Relationship Id="rId580" Type="http://schemas.openxmlformats.org/officeDocument/2006/relationships/hyperlink" Target="https://librodeclientes.com/layout.php?page=client&amp;id=40" TargetMode="External"/><Relationship Id="rId103" Type="http://schemas.openxmlformats.org/officeDocument/2006/relationships/hyperlink" Target="https://librodeclientes.com/layout.php?page=client&amp;id=519" TargetMode="External"/><Relationship Id="rId224" Type="http://schemas.openxmlformats.org/officeDocument/2006/relationships/hyperlink" Target="https://librodeclientes.com/layout.php?page=client&amp;id=398" TargetMode="External"/><Relationship Id="rId345" Type="http://schemas.openxmlformats.org/officeDocument/2006/relationships/hyperlink" Target="https://librodeclientes.com/layout.php?page=client&amp;id=277" TargetMode="External"/><Relationship Id="rId466" Type="http://schemas.openxmlformats.org/officeDocument/2006/relationships/hyperlink" Target="https://librodeclientes.com/layout.php?page=client&amp;id=156" TargetMode="External"/><Relationship Id="rId587" Type="http://schemas.openxmlformats.org/officeDocument/2006/relationships/hyperlink" Target="https://librodeclientes.com/layout.php?page=client&amp;id=33" TargetMode="External"/><Relationship Id="rId102" Type="http://schemas.openxmlformats.org/officeDocument/2006/relationships/hyperlink" Target="https://librodeclientes.com/layout.php?page=client&amp;id=520" TargetMode="External"/><Relationship Id="rId223" Type="http://schemas.openxmlformats.org/officeDocument/2006/relationships/hyperlink" Target="https://librodeclientes.com/layout.php?page=client&amp;id=399" TargetMode="External"/><Relationship Id="rId344" Type="http://schemas.openxmlformats.org/officeDocument/2006/relationships/hyperlink" Target="https://librodeclientes.com/layout.php?page=client&amp;id=278" TargetMode="External"/><Relationship Id="rId465" Type="http://schemas.openxmlformats.org/officeDocument/2006/relationships/hyperlink" Target="https://librodeclientes.com/layout.php?page=client&amp;id=157" TargetMode="External"/><Relationship Id="rId586" Type="http://schemas.openxmlformats.org/officeDocument/2006/relationships/hyperlink" Target="https://librodeclientes.com/layout.php?page=client&amp;id=34" TargetMode="External"/><Relationship Id="rId101" Type="http://schemas.openxmlformats.org/officeDocument/2006/relationships/hyperlink" Target="https://librodeclientes.com/layout.php?page=client&amp;id=521" TargetMode="External"/><Relationship Id="rId222" Type="http://schemas.openxmlformats.org/officeDocument/2006/relationships/hyperlink" Target="https://librodeclientes.com/layout.php?page=client&amp;id=400" TargetMode="External"/><Relationship Id="rId343" Type="http://schemas.openxmlformats.org/officeDocument/2006/relationships/hyperlink" Target="https://librodeclientes.com/layout.php?page=client&amp;id=279" TargetMode="External"/><Relationship Id="rId464" Type="http://schemas.openxmlformats.org/officeDocument/2006/relationships/hyperlink" Target="https://librodeclientes.com/layout.php?page=client&amp;id=158" TargetMode="External"/><Relationship Id="rId585" Type="http://schemas.openxmlformats.org/officeDocument/2006/relationships/hyperlink" Target="https://librodeclientes.com/layout.php?page=client&amp;id=35" TargetMode="External"/><Relationship Id="rId100" Type="http://schemas.openxmlformats.org/officeDocument/2006/relationships/hyperlink" Target="https://librodeclientes.com/layout.php?page=client&amp;id=522" TargetMode="External"/><Relationship Id="rId221" Type="http://schemas.openxmlformats.org/officeDocument/2006/relationships/hyperlink" Target="https://librodeclientes.com/layout.php?page=client&amp;id=401" TargetMode="External"/><Relationship Id="rId342" Type="http://schemas.openxmlformats.org/officeDocument/2006/relationships/hyperlink" Target="https://librodeclientes.com/layout.php?page=client&amp;id=280" TargetMode="External"/><Relationship Id="rId463" Type="http://schemas.openxmlformats.org/officeDocument/2006/relationships/hyperlink" Target="https://librodeclientes.com/layout.php?page=client&amp;id=159" TargetMode="External"/><Relationship Id="rId584" Type="http://schemas.openxmlformats.org/officeDocument/2006/relationships/hyperlink" Target="https://librodeclientes.com/layout.php?page=client&amp;id=36" TargetMode="External"/><Relationship Id="rId217" Type="http://schemas.openxmlformats.org/officeDocument/2006/relationships/hyperlink" Target="https://librodeclientes.com/layout.php?page=client&amp;id=405" TargetMode="External"/><Relationship Id="rId338" Type="http://schemas.openxmlformats.org/officeDocument/2006/relationships/hyperlink" Target="https://librodeclientes.com/layout.php?page=client&amp;id=284" TargetMode="External"/><Relationship Id="rId459" Type="http://schemas.openxmlformats.org/officeDocument/2006/relationships/hyperlink" Target="https://librodeclientes.com/layout.php?page=client&amp;id=163" TargetMode="External"/><Relationship Id="rId216" Type="http://schemas.openxmlformats.org/officeDocument/2006/relationships/hyperlink" Target="https://librodeclientes.com/layout.php?page=client&amp;id=406" TargetMode="External"/><Relationship Id="rId337" Type="http://schemas.openxmlformats.org/officeDocument/2006/relationships/hyperlink" Target="https://librodeclientes.com/layout.php?page=client&amp;id=285" TargetMode="External"/><Relationship Id="rId458" Type="http://schemas.openxmlformats.org/officeDocument/2006/relationships/hyperlink" Target="https://librodeclientes.com/layout.php?page=client&amp;id=164" TargetMode="External"/><Relationship Id="rId579" Type="http://schemas.openxmlformats.org/officeDocument/2006/relationships/hyperlink" Target="https://librodeclientes.com/layout.php?page=client&amp;id=41" TargetMode="External"/><Relationship Id="rId215" Type="http://schemas.openxmlformats.org/officeDocument/2006/relationships/hyperlink" Target="https://librodeclientes.com/layout.php?page=client&amp;id=407" TargetMode="External"/><Relationship Id="rId336" Type="http://schemas.openxmlformats.org/officeDocument/2006/relationships/hyperlink" Target="https://librodeclientes.com/layout.php?page=client&amp;id=286" TargetMode="External"/><Relationship Id="rId457" Type="http://schemas.openxmlformats.org/officeDocument/2006/relationships/hyperlink" Target="https://librodeclientes.com/layout.php?page=client&amp;id=165" TargetMode="External"/><Relationship Id="rId578" Type="http://schemas.openxmlformats.org/officeDocument/2006/relationships/hyperlink" Target="https://librodeclientes.com/layout.php?page=client&amp;id=42" TargetMode="External"/><Relationship Id="rId214" Type="http://schemas.openxmlformats.org/officeDocument/2006/relationships/hyperlink" Target="https://librodeclientes.com/layout.php?page=client&amp;id=408" TargetMode="External"/><Relationship Id="rId335" Type="http://schemas.openxmlformats.org/officeDocument/2006/relationships/hyperlink" Target="https://librodeclientes.com/layout.php?page=client&amp;id=287" TargetMode="External"/><Relationship Id="rId456" Type="http://schemas.openxmlformats.org/officeDocument/2006/relationships/hyperlink" Target="https://librodeclientes.com/layout.php?page=client&amp;id=166" TargetMode="External"/><Relationship Id="rId577" Type="http://schemas.openxmlformats.org/officeDocument/2006/relationships/hyperlink" Target="https://librodeclientes.com/layout.php?page=client&amp;id=43" TargetMode="External"/><Relationship Id="rId219" Type="http://schemas.openxmlformats.org/officeDocument/2006/relationships/hyperlink" Target="https://librodeclientes.com/layout.php?page=client&amp;id=403" TargetMode="External"/><Relationship Id="rId218" Type="http://schemas.openxmlformats.org/officeDocument/2006/relationships/hyperlink" Target="https://librodeclientes.com/layout.php?page=client&amp;id=404" TargetMode="External"/><Relationship Id="rId339" Type="http://schemas.openxmlformats.org/officeDocument/2006/relationships/hyperlink" Target="https://librodeclientes.com/layout.php?page=client&amp;id=283" TargetMode="External"/><Relationship Id="rId330" Type="http://schemas.openxmlformats.org/officeDocument/2006/relationships/hyperlink" Target="https://librodeclientes.com/layout.php?page=client&amp;id=292" TargetMode="External"/><Relationship Id="rId451" Type="http://schemas.openxmlformats.org/officeDocument/2006/relationships/hyperlink" Target="https://librodeclientes.com/layout.php?page=client&amp;id=171" TargetMode="External"/><Relationship Id="rId572" Type="http://schemas.openxmlformats.org/officeDocument/2006/relationships/hyperlink" Target="https://librodeclientes.com/layout.php?page=client&amp;id=48" TargetMode="External"/><Relationship Id="rId450" Type="http://schemas.openxmlformats.org/officeDocument/2006/relationships/hyperlink" Target="https://librodeclientes.com/layout.php?page=client&amp;id=172" TargetMode="External"/><Relationship Id="rId571" Type="http://schemas.openxmlformats.org/officeDocument/2006/relationships/hyperlink" Target="https://librodeclientes.com/layout.php?page=client&amp;id=49" TargetMode="External"/><Relationship Id="rId570" Type="http://schemas.openxmlformats.org/officeDocument/2006/relationships/hyperlink" Target="https://librodeclientes.com/layout.php?page=client&amp;id=50" TargetMode="External"/><Relationship Id="rId213" Type="http://schemas.openxmlformats.org/officeDocument/2006/relationships/hyperlink" Target="https://librodeclientes.com/layout.php?page=client&amp;id=409" TargetMode="External"/><Relationship Id="rId334" Type="http://schemas.openxmlformats.org/officeDocument/2006/relationships/hyperlink" Target="https://librodeclientes.com/layout.php?page=client&amp;id=288" TargetMode="External"/><Relationship Id="rId455" Type="http://schemas.openxmlformats.org/officeDocument/2006/relationships/hyperlink" Target="https://librodeclientes.com/layout.php?page=client&amp;id=167" TargetMode="External"/><Relationship Id="rId576" Type="http://schemas.openxmlformats.org/officeDocument/2006/relationships/hyperlink" Target="https://librodeclientes.com/layout.php?page=client&amp;id=44" TargetMode="External"/><Relationship Id="rId212" Type="http://schemas.openxmlformats.org/officeDocument/2006/relationships/hyperlink" Target="https://librodeclientes.com/layout.php?page=client&amp;id=410" TargetMode="External"/><Relationship Id="rId333" Type="http://schemas.openxmlformats.org/officeDocument/2006/relationships/hyperlink" Target="https://librodeclientes.com/layout.php?page=client&amp;id=289" TargetMode="External"/><Relationship Id="rId454" Type="http://schemas.openxmlformats.org/officeDocument/2006/relationships/hyperlink" Target="https://librodeclientes.com/layout.php?page=client&amp;id=168" TargetMode="External"/><Relationship Id="rId575" Type="http://schemas.openxmlformats.org/officeDocument/2006/relationships/hyperlink" Target="https://librodeclientes.com/layout.php?page=client&amp;id=45" TargetMode="External"/><Relationship Id="rId211" Type="http://schemas.openxmlformats.org/officeDocument/2006/relationships/hyperlink" Target="https://librodeclientes.com/layout.php?page=client&amp;id=411" TargetMode="External"/><Relationship Id="rId332" Type="http://schemas.openxmlformats.org/officeDocument/2006/relationships/hyperlink" Target="https://librodeclientes.com/layout.php?page=client&amp;id=290" TargetMode="External"/><Relationship Id="rId453" Type="http://schemas.openxmlformats.org/officeDocument/2006/relationships/hyperlink" Target="https://librodeclientes.com/layout.php?page=client&amp;id=169" TargetMode="External"/><Relationship Id="rId574" Type="http://schemas.openxmlformats.org/officeDocument/2006/relationships/hyperlink" Target="https://librodeclientes.com/layout.php?page=client&amp;id=46" TargetMode="External"/><Relationship Id="rId210" Type="http://schemas.openxmlformats.org/officeDocument/2006/relationships/hyperlink" Target="https://librodeclientes.com/layout.php?page=client&amp;id=412" TargetMode="External"/><Relationship Id="rId331" Type="http://schemas.openxmlformats.org/officeDocument/2006/relationships/hyperlink" Target="https://librodeclientes.com/layout.php?page=client&amp;id=291" TargetMode="External"/><Relationship Id="rId452" Type="http://schemas.openxmlformats.org/officeDocument/2006/relationships/hyperlink" Target="https://librodeclientes.com/layout.php?page=client&amp;id=170" TargetMode="External"/><Relationship Id="rId573" Type="http://schemas.openxmlformats.org/officeDocument/2006/relationships/hyperlink" Target="https://librodeclientes.com/layout.php?page=client&amp;id=47" TargetMode="External"/><Relationship Id="rId370" Type="http://schemas.openxmlformats.org/officeDocument/2006/relationships/hyperlink" Target="https://librodeclientes.com/layout.php?page=client&amp;id=252" TargetMode="External"/><Relationship Id="rId491" Type="http://schemas.openxmlformats.org/officeDocument/2006/relationships/hyperlink" Target="https://librodeclientes.com/layout.php?page=client&amp;id=131" TargetMode="External"/><Relationship Id="rId490" Type="http://schemas.openxmlformats.org/officeDocument/2006/relationships/hyperlink" Target="https://librodeclientes.com/layout.php?page=client&amp;id=132" TargetMode="External"/><Relationship Id="rId129" Type="http://schemas.openxmlformats.org/officeDocument/2006/relationships/hyperlink" Target="https://librodeclientes.com/layout.php?page=client&amp;id=493" TargetMode="External"/><Relationship Id="rId128" Type="http://schemas.openxmlformats.org/officeDocument/2006/relationships/hyperlink" Target="https://librodeclientes.com/layout.php?page=client&amp;id=494" TargetMode="External"/><Relationship Id="rId249" Type="http://schemas.openxmlformats.org/officeDocument/2006/relationships/hyperlink" Target="https://librodeclientes.com/layout.php?page=client&amp;id=373" TargetMode="External"/><Relationship Id="rId127" Type="http://schemas.openxmlformats.org/officeDocument/2006/relationships/hyperlink" Target="https://librodeclientes.com/layout.php?page=client&amp;id=495" TargetMode="External"/><Relationship Id="rId248" Type="http://schemas.openxmlformats.org/officeDocument/2006/relationships/hyperlink" Target="https://librodeclientes.com/layout.php?page=client&amp;id=374" TargetMode="External"/><Relationship Id="rId369" Type="http://schemas.openxmlformats.org/officeDocument/2006/relationships/hyperlink" Target="https://librodeclientes.com/layout.php?page=client&amp;id=253" TargetMode="External"/><Relationship Id="rId126" Type="http://schemas.openxmlformats.org/officeDocument/2006/relationships/hyperlink" Target="https://librodeclientes.com/layout.php?page=client&amp;id=496" TargetMode="External"/><Relationship Id="rId247" Type="http://schemas.openxmlformats.org/officeDocument/2006/relationships/hyperlink" Target="https://librodeclientes.com/layout.php?page=client&amp;id=375" TargetMode="External"/><Relationship Id="rId368" Type="http://schemas.openxmlformats.org/officeDocument/2006/relationships/hyperlink" Target="https://librodeclientes.com/layout.php?page=client&amp;id=254" TargetMode="External"/><Relationship Id="rId489" Type="http://schemas.openxmlformats.org/officeDocument/2006/relationships/hyperlink" Target="https://librodeclientes.com/layout.php?page=client&amp;id=133" TargetMode="External"/><Relationship Id="rId121" Type="http://schemas.openxmlformats.org/officeDocument/2006/relationships/hyperlink" Target="https://librodeclientes.com/layout.php?page=client&amp;id=501" TargetMode="External"/><Relationship Id="rId242" Type="http://schemas.openxmlformats.org/officeDocument/2006/relationships/hyperlink" Target="https://librodeclientes.com/layout.php?page=client&amp;id=380" TargetMode="External"/><Relationship Id="rId363" Type="http://schemas.openxmlformats.org/officeDocument/2006/relationships/hyperlink" Target="https://librodeclientes.com/layout.php?page=client&amp;id=259" TargetMode="External"/><Relationship Id="rId484" Type="http://schemas.openxmlformats.org/officeDocument/2006/relationships/hyperlink" Target="https://librodeclientes.com/layout.php?page=client&amp;id=138" TargetMode="External"/><Relationship Id="rId120" Type="http://schemas.openxmlformats.org/officeDocument/2006/relationships/hyperlink" Target="https://librodeclientes.com/layout.php?page=client&amp;id=502" TargetMode="External"/><Relationship Id="rId241" Type="http://schemas.openxmlformats.org/officeDocument/2006/relationships/hyperlink" Target="https://librodeclientes.com/layout.php?page=client&amp;id=381" TargetMode="External"/><Relationship Id="rId362" Type="http://schemas.openxmlformats.org/officeDocument/2006/relationships/hyperlink" Target="https://librodeclientes.com/layout.php?page=client&amp;id=260" TargetMode="External"/><Relationship Id="rId483" Type="http://schemas.openxmlformats.org/officeDocument/2006/relationships/hyperlink" Target="https://librodeclientes.com/layout.php?page=client&amp;id=139" TargetMode="External"/><Relationship Id="rId240" Type="http://schemas.openxmlformats.org/officeDocument/2006/relationships/hyperlink" Target="https://librodeclientes.com/layout.php?page=client&amp;id=382" TargetMode="External"/><Relationship Id="rId361" Type="http://schemas.openxmlformats.org/officeDocument/2006/relationships/hyperlink" Target="https://librodeclientes.com/layout.php?page=client&amp;id=261" TargetMode="External"/><Relationship Id="rId482" Type="http://schemas.openxmlformats.org/officeDocument/2006/relationships/hyperlink" Target="https://librodeclientes.com/layout.php?page=client&amp;id=140" TargetMode="External"/><Relationship Id="rId360" Type="http://schemas.openxmlformats.org/officeDocument/2006/relationships/hyperlink" Target="https://librodeclientes.com/layout.php?page=client&amp;id=262" TargetMode="External"/><Relationship Id="rId481" Type="http://schemas.openxmlformats.org/officeDocument/2006/relationships/hyperlink" Target="https://librodeclientes.com/layout.php?page=client&amp;id=141" TargetMode="External"/><Relationship Id="rId125" Type="http://schemas.openxmlformats.org/officeDocument/2006/relationships/hyperlink" Target="https://librodeclientes.com/layout.php?page=client&amp;id=497" TargetMode="External"/><Relationship Id="rId246" Type="http://schemas.openxmlformats.org/officeDocument/2006/relationships/hyperlink" Target="https://librodeclientes.com/layout.php?page=client&amp;id=376" TargetMode="External"/><Relationship Id="rId367" Type="http://schemas.openxmlformats.org/officeDocument/2006/relationships/hyperlink" Target="https://librodeclientes.com/layout.php?page=client&amp;id=255" TargetMode="External"/><Relationship Id="rId488" Type="http://schemas.openxmlformats.org/officeDocument/2006/relationships/hyperlink" Target="https://librodeclientes.com/layout.php?page=client&amp;id=134" TargetMode="External"/><Relationship Id="rId124" Type="http://schemas.openxmlformats.org/officeDocument/2006/relationships/hyperlink" Target="https://librodeclientes.com/layout.php?page=client&amp;id=498" TargetMode="External"/><Relationship Id="rId245" Type="http://schemas.openxmlformats.org/officeDocument/2006/relationships/hyperlink" Target="https://librodeclientes.com/layout.php?page=client&amp;id=377" TargetMode="External"/><Relationship Id="rId366" Type="http://schemas.openxmlformats.org/officeDocument/2006/relationships/hyperlink" Target="https://librodeclientes.com/layout.php?page=client&amp;id=256" TargetMode="External"/><Relationship Id="rId487" Type="http://schemas.openxmlformats.org/officeDocument/2006/relationships/hyperlink" Target="https://librodeclientes.com/layout.php?page=client&amp;id=135" TargetMode="External"/><Relationship Id="rId123" Type="http://schemas.openxmlformats.org/officeDocument/2006/relationships/hyperlink" Target="https://librodeclientes.com/layout.php?page=client&amp;id=499" TargetMode="External"/><Relationship Id="rId244" Type="http://schemas.openxmlformats.org/officeDocument/2006/relationships/hyperlink" Target="https://librodeclientes.com/layout.php?page=client&amp;id=378" TargetMode="External"/><Relationship Id="rId365" Type="http://schemas.openxmlformats.org/officeDocument/2006/relationships/hyperlink" Target="https://librodeclientes.com/layout.php?page=client&amp;id=257" TargetMode="External"/><Relationship Id="rId486" Type="http://schemas.openxmlformats.org/officeDocument/2006/relationships/hyperlink" Target="https://librodeclientes.com/layout.php?page=client&amp;id=136" TargetMode="External"/><Relationship Id="rId122" Type="http://schemas.openxmlformats.org/officeDocument/2006/relationships/hyperlink" Target="https://librodeclientes.com/layout.php?page=client&amp;id=500" TargetMode="External"/><Relationship Id="rId243" Type="http://schemas.openxmlformats.org/officeDocument/2006/relationships/hyperlink" Target="https://librodeclientes.com/layout.php?page=client&amp;id=379" TargetMode="External"/><Relationship Id="rId364" Type="http://schemas.openxmlformats.org/officeDocument/2006/relationships/hyperlink" Target="https://librodeclientes.com/layout.php?page=client&amp;id=258" TargetMode="External"/><Relationship Id="rId485" Type="http://schemas.openxmlformats.org/officeDocument/2006/relationships/hyperlink" Target="https://librodeclientes.com/layout.php?page=client&amp;id=137" TargetMode="External"/><Relationship Id="rId95" Type="http://schemas.openxmlformats.org/officeDocument/2006/relationships/hyperlink" Target="https://librodeclientes.com/layout.php?page=client&amp;id=527" TargetMode="External"/><Relationship Id="rId94" Type="http://schemas.openxmlformats.org/officeDocument/2006/relationships/hyperlink" Target="https://librodeclientes.com/layout.php?page=client&amp;id=528" TargetMode="External"/><Relationship Id="rId97" Type="http://schemas.openxmlformats.org/officeDocument/2006/relationships/hyperlink" Target="https://librodeclientes.com/layout.php?page=client&amp;id=525" TargetMode="External"/><Relationship Id="rId96" Type="http://schemas.openxmlformats.org/officeDocument/2006/relationships/hyperlink" Target="https://librodeclientes.com/layout.php?page=client&amp;id=526" TargetMode="External"/><Relationship Id="rId99" Type="http://schemas.openxmlformats.org/officeDocument/2006/relationships/hyperlink" Target="https://librodeclientes.com/layout.php?page=client&amp;id=523" TargetMode="External"/><Relationship Id="rId480" Type="http://schemas.openxmlformats.org/officeDocument/2006/relationships/hyperlink" Target="https://librodeclientes.com/layout.php?page=client&amp;id=142" TargetMode="External"/><Relationship Id="rId98" Type="http://schemas.openxmlformats.org/officeDocument/2006/relationships/hyperlink" Target="https://librodeclientes.com/layout.php?page=client&amp;id=524" TargetMode="External"/><Relationship Id="rId91" Type="http://schemas.openxmlformats.org/officeDocument/2006/relationships/hyperlink" Target="https://librodeclientes.com/layout.php?page=client&amp;id=531" TargetMode="External"/><Relationship Id="rId90" Type="http://schemas.openxmlformats.org/officeDocument/2006/relationships/hyperlink" Target="https://librodeclientes.com/layout.php?page=client&amp;id=532" TargetMode="External"/><Relationship Id="rId93" Type="http://schemas.openxmlformats.org/officeDocument/2006/relationships/hyperlink" Target="https://librodeclientes.com/layout.php?page=client&amp;id=529" TargetMode="External"/><Relationship Id="rId92" Type="http://schemas.openxmlformats.org/officeDocument/2006/relationships/hyperlink" Target="https://librodeclientes.com/layout.php?page=client&amp;id=530" TargetMode="External"/><Relationship Id="rId118" Type="http://schemas.openxmlformats.org/officeDocument/2006/relationships/hyperlink" Target="https://librodeclientes.com/layout.php?page=client&amp;id=504" TargetMode="External"/><Relationship Id="rId239" Type="http://schemas.openxmlformats.org/officeDocument/2006/relationships/hyperlink" Target="https://librodeclientes.com/layout.php?page=client&amp;id=383" TargetMode="External"/><Relationship Id="rId117" Type="http://schemas.openxmlformats.org/officeDocument/2006/relationships/hyperlink" Target="https://librodeclientes.com/layout.php?page=client&amp;id=505" TargetMode="External"/><Relationship Id="rId238" Type="http://schemas.openxmlformats.org/officeDocument/2006/relationships/hyperlink" Target="https://librodeclientes.com/layout.php?page=client&amp;id=384" TargetMode="External"/><Relationship Id="rId359" Type="http://schemas.openxmlformats.org/officeDocument/2006/relationships/hyperlink" Target="https://librodeclientes.com/layout.php?page=client&amp;id=263" TargetMode="External"/><Relationship Id="rId116" Type="http://schemas.openxmlformats.org/officeDocument/2006/relationships/hyperlink" Target="https://librodeclientes.com/layout.php?page=client&amp;id=506" TargetMode="External"/><Relationship Id="rId237" Type="http://schemas.openxmlformats.org/officeDocument/2006/relationships/hyperlink" Target="https://librodeclientes.com/layout.php?page=client&amp;id=385" TargetMode="External"/><Relationship Id="rId358" Type="http://schemas.openxmlformats.org/officeDocument/2006/relationships/hyperlink" Target="https://librodeclientes.com/layout.php?page=client&amp;id=264" TargetMode="External"/><Relationship Id="rId479" Type="http://schemas.openxmlformats.org/officeDocument/2006/relationships/hyperlink" Target="https://librodeclientes.com/layout.php?page=client&amp;id=143" TargetMode="External"/><Relationship Id="rId115" Type="http://schemas.openxmlformats.org/officeDocument/2006/relationships/hyperlink" Target="https://librodeclientes.com/layout.php?page=client&amp;id=507" TargetMode="External"/><Relationship Id="rId236" Type="http://schemas.openxmlformats.org/officeDocument/2006/relationships/hyperlink" Target="https://librodeclientes.com/layout.php?page=client&amp;id=386" TargetMode="External"/><Relationship Id="rId357" Type="http://schemas.openxmlformats.org/officeDocument/2006/relationships/hyperlink" Target="https://librodeclientes.com/layout.php?page=client&amp;id=265" TargetMode="External"/><Relationship Id="rId478" Type="http://schemas.openxmlformats.org/officeDocument/2006/relationships/hyperlink" Target="https://librodeclientes.com/layout.php?page=client&amp;id=144" TargetMode="External"/><Relationship Id="rId599" Type="http://schemas.openxmlformats.org/officeDocument/2006/relationships/hyperlink" Target="https://librodeclientes.com/layout.php?page=client&amp;id=21" TargetMode="External"/><Relationship Id="rId119" Type="http://schemas.openxmlformats.org/officeDocument/2006/relationships/hyperlink" Target="https://librodeclientes.com/layout.php?page=client&amp;id=503" TargetMode="External"/><Relationship Id="rId110" Type="http://schemas.openxmlformats.org/officeDocument/2006/relationships/hyperlink" Target="https://librodeclientes.com/layout.php?page=client&amp;id=512" TargetMode="External"/><Relationship Id="rId231" Type="http://schemas.openxmlformats.org/officeDocument/2006/relationships/hyperlink" Target="https://librodeclientes.com/layout.php?page=client&amp;id=391" TargetMode="External"/><Relationship Id="rId352" Type="http://schemas.openxmlformats.org/officeDocument/2006/relationships/hyperlink" Target="https://librodeclientes.com/layout.php?page=client&amp;id=270" TargetMode="External"/><Relationship Id="rId473" Type="http://schemas.openxmlformats.org/officeDocument/2006/relationships/hyperlink" Target="https://librodeclientes.com/layout.php?page=client&amp;id=149" TargetMode="External"/><Relationship Id="rId594" Type="http://schemas.openxmlformats.org/officeDocument/2006/relationships/hyperlink" Target="https://librodeclientes.com/layout.php?page=client&amp;id=27" TargetMode="External"/><Relationship Id="rId230" Type="http://schemas.openxmlformats.org/officeDocument/2006/relationships/hyperlink" Target="https://librodeclientes.com/layout.php?page=client&amp;id=392" TargetMode="External"/><Relationship Id="rId351" Type="http://schemas.openxmlformats.org/officeDocument/2006/relationships/hyperlink" Target="https://librodeclientes.com/layout.php?page=client&amp;id=271" TargetMode="External"/><Relationship Id="rId472" Type="http://schemas.openxmlformats.org/officeDocument/2006/relationships/hyperlink" Target="https://librodeclientes.com/layout.php?page=client&amp;id=150" TargetMode="External"/><Relationship Id="rId593" Type="http://schemas.openxmlformats.org/officeDocument/2006/relationships/hyperlink" Target="https://librodeclientes.com/layout.php?page=client&amp;id=28" TargetMode="External"/><Relationship Id="rId350" Type="http://schemas.openxmlformats.org/officeDocument/2006/relationships/hyperlink" Target="https://librodeclientes.com/layout.php?page=client&amp;id=272" TargetMode="External"/><Relationship Id="rId471" Type="http://schemas.openxmlformats.org/officeDocument/2006/relationships/hyperlink" Target="https://librodeclientes.com/layout.php?page=client&amp;id=151" TargetMode="External"/><Relationship Id="rId592" Type="http://schemas.openxmlformats.org/officeDocument/2006/relationships/hyperlink" Target="https://librodeclientes.com/layout.php?page=client&amp;id=29" TargetMode="External"/><Relationship Id="rId470" Type="http://schemas.openxmlformats.org/officeDocument/2006/relationships/hyperlink" Target="https://librodeclientes.com/layout.php?page=client&amp;id=152" TargetMode="External"/><Relationship Id="rId591" Type="http://schemas.openxmlformats.org/officeDocument/2006/relationships/hyperlink" Target="https://librodeclientes.com/layout.php?page=client&amp;id=30" TargetMode="External"/><Relationship Id="rId114" Type="http://schemas.openxmlformats.org/officeDocument/2006/relationships/hyperlink" Target="https://librodeclientes.com/layout.php?page=client&amp;id=508" TargetMode="External"/><Relationship Id="rId235" Type="http://schemas.openxmlformats.org/officeDocument/2006/relationships/hyperlink" Target="https://librodeclientes.com/layout.php?page=client&amp;id=387" TargetMode="External"/><Relationship Id="rId356" Type="http://schemas.openxmlformats.org/officeDocument/2006/relationships/hyperlink" Target="https://librodeclientes.com/layout.php?page=client&amp;id=266" TargetMode="External"/><Relationship Id="rId477" Type="http://schemas.openxmlformats.org/officeDocument/2006/relationships/hyperlink" Target="https://librodeclientes.com/layout.php?page=client&amp;id=145" TargetMode="External"/><Relationship Id="rId598" Type="http://schemas.openxmlformats.org/officeDocument/2006/relationships/hyperlink" Target="https://librodeclientes.com/layout.php?page=client&amp;id=22" TargetMode="External"/><Relationship Id="rId113" Type="http://schemas.openxmlformats.org/officeDocument/2006/relationships/hyperlink" Target="https://librodeclientes.com/layout.php?page=client&amp;id=509" TargetMode="External"/><Relationship Id="rId234" Type="http://schemas.openxmlformats.org/officeDocument/2006/relationships/hyperlink" Target="https://librodeclientes.com/layout.php?page=client&amp;id=388" TargetMode="External"/><Relationship Id="rId355" Type="http://schemas.openxmlformats.org/officeDocument/2006/relationships/hyperlink" Target="https://librodeclientes.com/layout.php?page=client&amp;id=267" TargetMode="External"/><Relationship Id="rId476" Type="http://schemas.openxmlformats.org/officeDocument/2006/relationships/hyperlink" Target="https://librodeclientes.com/layout.php?page=client&amp;id=146" TargetMode="External"/><Relationship Id="rId597" Type="http://schemas.openxmlformats.org/officeDocument/2006/relationships/hyperlink" Target="https://librodeclientes.com/layout.php?page=client&amp;id=23" TargetMode="External"/><Relationship Id="rId112" Type="http://schemas.openxmlformats.org/officeDocument/2006/relationships/hyperlink" Target="https://librodeclientes.com/layout.php?page=client&amp;id=510" TargetMode="External"/><Relationship Id="rId233" Type="http://schemas.openxmlformats.org/officeDocument/2006/relationships/hyperlink" Target="https://librodeclientes.com/layout.php?page=client&amp;id=389" TargetMode="External"/><Relationship Id="rId354" Type="http://schemas.openxmlformats.org/officeDocument/2006/relationships/hyperlink" Target="https://librodeclientes.com/layout.php?page=client&amp;id=268" TargetMode="External"/><Relationship Id="rId475" Type="http://schemas.openxmlformats.org/officeDocument/2006/relationships/hyperlink" Target="https://librodeclientes.com/layout.php?page=client&amp;id=147" TargetMode="External"/><Relationship Id="rId596" Type="http://schemas.openxmlformats.org/officeDocument/2006/relationships/hyperlink" Target="https://librodeclientes.com/layout.php?page=client&amp;id=24" TargetMode="External"/><Relationship Id="rId111" Type="http://schemas.openxmlformats.org/officeDocument/2006/relationships/hyperlink" Target="https://librodeclientes.com/layout.php?page=client&amp;id=511" TargetMode="External"/><Relationship Id="rId232" Type="http://schemas.openxmlformats.org/officeDocument/2006/relationships/hyperlink" Target="https://librodeclientes.com/layout.php?page=client&amp;id=390" TargetMode="External"/><Relationship Id="rId353" Type="http://schemas.openxmlformats.org/officeDocument/2006/relationships/hyperlink" Target="https://librodeclientes.com/layout.php?page=client&amp;id=269" TargetMode="External"/><Relationship Id="rId474" Type="http://schemas.openxmlformats.org/officeDocument/2006/relationships/hyperlink" Target="https://librodeclientes.com/layout.php?page=client&amp;id=148" TargetMode="External"/><Relationship Id="rId595" Type="http://schemas.openxmlformats.org/officeDocument/2006/relationships/hyperlink" Target="https://librodeclientes.com/layout.php?page=client&amp;id=26" TargetMode="External"/><Relationship Id="rId305" Type="http://schemas.openxmlformats.org/officeDocument/2006/relationships/hyperlink" Target="https://librodeclientes.com/layout.php?page=client&amp;id=317" TargetMode="External"/><Relationship Id="rId426" Type="http://schemas.openxmlformats.org/officeDocument/2006/relationships/hyperlink" Target="https://librodeclientes.com/layout.php?page=client&amp;id=196" TargetMode="External"/><Relationship Id="rId547" Type="http://schemas.openxmlformats.org/officeDocument/2006/relationships/hyperlink" Target="https://librodeclientes.com/layout.php?page=client&amp;id=73" TargetMode="External"/><Relationship Id="rId304" Type="http://schemas.openxmlformats.org/officeDocument/2006/relationships/hyperlink" Target="https://librodeclientes.com/layout.php?page=client&amp;id=318" TargetMode="External"/><Relationship Id="rId425" Type="http://schemas.openxmlformats.org/officeDocument/2006/relationships/hyperlink" Target="https://librodeclientes.com/layout.php?page=client&amp;id=197" TargetMode="External"/><Relationship Id="rId546" Type="http://schemas.openxmlformats.org/officeDocument/2006/relationships/hyperlink" Target="https://librodeclientes.com/layout.php?page=client&amp;id=74" TargetMode="External"/><Relationship Id="rId303" Type="http://schemas.openxmlformats.org/officeDocument/2006/relationships/hyperlink" Target="https://librodeclientes.com/layout.php?page=client&amp;id=319" TargetMode="External"/><Relationship Id="rId424" Type="http://schemas.openxmlformats.org/officeDocument/2006/relationships/hyperlink" Target="https://librodeclientes.com/layout.php?page=client&amp;id=198" TargetMode="External"/><Relationship Id="rId545" Type="http://schemas.openxmlformats.org/officeDocument/2006/relationships/hyperlink" Target="https://librodeclientes.com/layout.php?page=client&amp;id=75" TargetMode="External"/><Relationship Id="rId302" Type="http://schemas.openxmlformats.org/officeDocument/2006/relationships/hyperlink" Target="https://librodeclientes.com/layout.php?page=client&amp;id=320" TargetMode="External"/><Relationship Id="rId423" Type="http://schemas.openxmlformats.org/officeDocument/2006/relationships/hyperlink" Target="https://librodeclientes.com/layout.php?page=client&amp;id=199" TargetMode="External"/><Relationship Id="rId544" Type="http://schemas.openxmlformats.org/officeDocument/2006/relationships/hyperlink" Target="https://librodeclientes.com/layout.php?page=client&amp;id=76" TargetMode="External"/><Relationship Id="rId309" Type="http://schemas.openxmlformats.org/officeDocument/2006/relationships/hyperlink" Target="https://librodeclientes.com/layout.php?page=client&amp;id=313" TargetMode="External"/><Relationship Id="rId308" Type="http://schemas.openxmlformats.org/officeDocument/2006/relationships/hyperlink" Target="https://librodeclientes.com/layout.php?page=client&amp;id=314" TargetMode="External"/><Relationship Id="rId429" Type="http://schemas.openxmlformats.org/officeDocument/2006/relationships/hyperlink" Target="https://librodeclientes.com/layout.php?page=client&amp;id=193" TargetMode="External"/><Relationship Id="rId307" Type="http://schemas.openxmlformats.org/officeDocument/2006/relationships/hyperlink" Target="https://librodeclientes.com/layout.php?page=client&amp;id=315" TargetMode="External"/><Relationship Id="rId428" Type="http://schemas.openxmlformats.org/officeDocument/2006/relationships/hyperlink" Target="https://librodeclientes.com/layout.php?page=client&amp;id=194" TargetMode="External"/><Relationship Id="rId549" Type="http://schemas.openxmlformats.org/officeDocument/2006/relationships/hyperlink" Target="https://librodeclientes.com/layout.php?page=client&amp;id=71" TargetMode="External"/><Relationship Id="rId306" Type="http://schemas.openxmlformats.org/officeDocument/2006/relationships/hyperlink" Target="https://librodeclientes.com/layout.php?page=client&amp;id=316" TargetMode="External"/><Relationship Id="rId427" Type="http://schemas.openxmlformats.org/officeDocument/2006/relationships/hyperlink" Target="https://librodeclientes.com/layout.php?page=client&amp;id=195" TargetMode="External"/><Relationship Id="rId548" Type="http://schemas.openxmlformats.org/officeDocument/2006/relationships/hyperlink" Target="https://librodeclientes.com/layout.php?page=client&amp;id=72" TargetMode="External"/><Relationship Id="rId301" Type="http://schemas.openxmlformats.org/officeDocument/2006/relationships/hyperlink" Target="https://librodeclientes.com/layout.php?page=client&amp;id=321" TargetMode="External"/><Relationship Id="rId422" Type="http://schemas.openxmlformats.org/officeDocument/2006/relationships/hyperlink" Target="https://librodeclientes.com/layout.php?page=client&amp;id=200" TargetMode="External"/><Relationship Id="rId543" Type="http://schemas.openxmlformats.org/officeDocument/2006/relationships/hyperlink" Target="https://librodeclientes.com/layout.php?page=client&amp;id=77" TargetMode="External"/><Relationship Id="rId300" Type="http://schemas.openxmlformats.org/officeDocument/2006/relationships/hyperlink" Target="https://librodeclientes.com/layout.php?page=client&amp;id=322" TargetMode="External"/><Relationship Id="rId421" Type="http://schemas.openxmlformats.org/officeDocument/2006/relationships/hyperlink" Target="https://librodeclientes.com/layout.php?page=client&amp;id=201" TargetMode="External"/><Relationship Id="rId542" Type="http://schemas.openxmlformats.org/officeDocument/2006/relationships/hyperlink" Target="https://librodeclientes.com/layout.php?page=client&amp;id=78" TargetMode="External"/><Relationship Id="rId420" Type="http://schemas.openxmlformats.org/officeDocument/2006/relationships/hyperlink" Target="https://librodeclientes.com/layout.php?page=client&amp;id=202" TargetMode="External"/><Relationship Id="rId541" Type="http://schemas.openxmlformats.org/officeDocument/2006/relationships/hyperlink" Target="https://librodeclientes.com/layout.php?page=client&amp;id=79" TargetMode="External"/><Relationship Id="rId540" Type="http://schemas.openxmlformats.org/officeDocument/2006/relationships/hyperlink" Target="https://librodeclientes.com/layout.php?page=client&amp;id=80" TargetMode="External"/><Relationship Id="rId415" Type="http://schemas.openxmlformats.org/officeDocument/2006/relationships/hyperlink" Target="https://librodeclientes.com/layout.php?page=client&amp;id=207" TargetMode="External"/><Relationship Id="rId536" Type="http://schemas.openxmlformats.org/officeDocument/2006/relationships/hyperlink" Target="https://librodeclientes.com/layout.php?page=client&amp;id=84" TargetMode="External"/><Relationship Id="rId414" Type="http://schemas.openxmlformats.org/officeDocument/2006/relationships/hyperlink" Target="https://librodeclientes.com/layout.php?page=client&amp;id=208" TargetMode="External"/><Relationship Id="rId535" Type="http://schemas.openxmlformats.org/officeDocument/2006/relationships/hyperlink" Target="https://librodeclientes.com/layout.php?page=client&amp;id=85" TargetMode="External"/><Relationship Id="rId413" Type="http://schemas.openxmlformats.org/officeDocument/2006/relationships/hyperlink" Target="https://librodeclientes.com/layout.php?page=client&amp;id=209" TargetMode="External"/><Relationship Id="rId534" Type="http://schemas.openxmlformats.org/officeDocument/2006/relationships/hyperlink" Target="https://librodeclientes.com/layout.php?page=client&amp;id=87" TargetMode="External"/><Relationship Id="rId412" Type="http://schemas.openxmlformats.org/officeDocument/2006/relationships/hyperlink" Target="https://librodeclientes.com/layout.php?page=client&amp;id=210" TargetMode="External"/><Relationship Id="rId533" Type="http://schemas.openxmlformats.org/officeDocument/2006/relationships/hyperlink" Target="https://librodeclientes.com/layout.php?page=client&amp;id=88" TargetMode="External"/><Relationship Id="rId419" Type="http://schemas.openxmlformats.org/officeDocument/2006/relationships/hyperlink" Target="https://librodeclientes.com/layout.php?page=client&amp;id=203" TargetMode="External"/><Relationship Id="rId418" Type="http://schemas.openxmlformats.org/officeDocument/2006/relationships/hyperlink" Target="https://librodeclientes.com/layout.php?page=client&amp;id=204" TargetMode="External"/><Relationship Id="rId539" Type="http://schemas.openxmlformats.org/officeDocument/2006/relationships/hyperlink" Target="https://librodeclientes.com/layout.php?page=client&amp;id=81" TargetMode="External"/><Relationship Id="rId417" Type="http://schemas.openxmlformats.org/officeDocument/2006/relationships/hyperlink" Target="https://librodeclientes.com/layout.php?page=client&amp;id=205" TargetMode="External"/><Relationship Id="rId538" Type="http://schemas.openxmlformats.org/officeDocument/2006/relationships/hyperlink" Target="https://librodeclientes.com/layout.php?page=client&amp;id=82" TargetMode="External"/><Relationship Id="rId416" Type="http://schemas.openxmlformats.org/officeDocument/2006/relationships/hyperlink" Target="https://librodeclientes.com/layout.php?page=client&amp;id=206" TargetMode="External"/><Relationship Id="rId537" Type="http://schemas.openxmlformats.org/officeDocument/2006/relationships/hyperlink" Target="https://librodeclientes.com/layout.php?page=client&amp;id=83" TargetMode="External"/><Relationship Id="rId411" Type="http://schemas.openxmlformats.org/officeDocument/2006/relationships/hyperlink" Target="https://librodeclientes.com/layout.php?page=client&amp;id=211" TargetMode="External"/><Relationship Id="rId532" Type="http://schemas.openxmlformats.org/officeDocument/2006/relationships/hyperlink" Target="https://librodeclientes.com/layout.php?page=client&amp;id=89" TargetMode="External"/><Relationship Id="rId410" Type="http://schemas.openxmlformats.org/officeDocument/2006/relationships/hyperlink" Target="https://librodeclientes.com/layout.php?page=client&amp;id=212" TargetMode="External"/><Relationship Id="rId531" Type="http://schemas.openxmlformats.org/officeDocument/2006/relationships/hyperlink" Target="https://librodeclientes.com/layout.php?page=client&amp;id=90" TargetMode="External"/><Relationship Id="rId530" Type="http://schemas.openxmlformats.org/officeDocument/2006/relationships/hyperlink" Target="https://librodeclientes.com/layout.php?page=client&amp;id=91" TargetMode="External"/><Relationship Id="rId206" Type="http://schemas.openxmlformats.org/officeDocument/2006/relationships/hyperlink" Target="https://librodeclientes.com/layout.php?page=client&amp;id=416" TargetMode="External"/><Relationship Id="rId327" Type="http://schemas.openxmlformats.org/officeDocument/2006/relationships/hyperlink" Target="https://librodeclientes.com/layout.php?page=client&amp;id=295" TargetMode="External"/><Relationship Id="rId448" Type="http://schemas.openxmlformats.org/officeDocument/2006/relationships/hyperlink" Target="https://librodeclientes.com/layout.php?page=client&amp;id=174" TargetMode="External"/><Relationship Id="rId569" Type="http://schemas.openxmlformats.org/officeDocument/2006/relationships/hyperlink" Target="https://librodeclientes.com/layout.php?page=client&amp;id=51" TargetMode="External"/><Relationship Id="rId205" Type="http://schemas.openxmlformats.org/officeDocument/2006/relationships/hyperlink" Target="https://librodeclientes.com/layout.php?page=client&amp;id=417" TargetMode="External"/><Relationship Id="rId326" Type="http://schemas.openxmlformats.org/officeDocument/2006/relationships/hyperlink" Target="https://librodeclientes.com/layout.php?page=client&amp;id=296" TargetMode="External"/><Relationship Id="rId447" Type="http://schemas.openxmlformats.org/officeDocument/2006/relationships/hyperlink" Target="https://librodeclientes.com/layout.php?page=client&amp;id=175" TargetMode="External"/><Relationship Id="rId568" Type="http://schemas.openxmlformats.org/officeDocument/2006/relationships/hyperlink" Target="https://librodeclientes.com/layout.php?page=client&amp;id=52" TargetMode="External"/><Relationship Id="rId204" Type="http://schemas.openxmlformats.org/officeDocument/2006/relationships/hyperlink" Target="https://librodeclientes.com/layout.php?page=client&amp;id=418" TargetMode="External"/><Relationship Id="rId325" Type="http://schemas.openxmlformats.org/officeDocument/2006/relationships/hyperlink" Target="https://librodeclientes.com/layout.php?page=client&amp;id=297" TargetMode="External"/><Relationship Id="rId446" Type="http://schemas.openxmlformats.org/officeDocument/2006/relationships/hyperlink" Target="https://librodeclientes.com/layout.php?page=client&amp;id=176" TargetMode="External"/><Relationship Id="rId567" Type="http://schemas.openxmlformats.org/officeDocument/2006/relationships/hyperlink" Target="https://librodeclientes.com/layout.php?page=client&amp;id=53" TargetMode="External"/><Relationship Id="rId203" Type="http://schemas.openxmlformats.org/officeDocument/2006/relationships/hyperlink" Target="https://librodeclientes.com/layout.php?page=client&amp;id=419" TargetMode="External"/><Relationship Id="rId324" Type="http://schemas.openxmlformats.org/officeDocument/2006/relationships/hyperlink" Target="https://librodeclientes.com/layout.php?page=client&amp;id=298" TargetMode="External"/><Relationship Id="rId445" Type="http://schemas.openxmlformats.org/officeDocument/2006/relationships/hyperlink" Target="https://librodeclientes.com/layout.php?page=client&amp;id=177" TargetMode="External"/><Relationship Id="rId566" Type="http://schemas.openxmlformats.org/officeDocument/2006/relationships/hyperlink" Target="https://librodeclientes.com/layout.php?page=client&amp;id=54" TargetMode="External"/><Relationship Id="rId209" Type="http://schemas.openxmlformats.org/officeDocument/2006/relationships/hyperlink" Target="https://librodeclientes.com/layout.php?page=client&amp;id=413" TargetMode="External"/><Relationship Id="rId208" Type="http://schemas.openxmlformats.org/officeDocument/2006/relationships/hyperlink" Target="https://librodeclientes.com/layout.php?page=client&amp;id=414" TargetMode="External"/><Relationship Id="rId329" Type="http://schemas.openxmlformats.org/officeDocument/2006/relationships/hyperlink" Target="https://librodeclientes.com/layout.php?page=client&amp;id=293" TargetMode="External"/><Relationship Id="rId207" Type="http://schemas.openxmlformats.org/officeDocument/2006/relationships/hyperlink" Target="https://librodeclientes.com/layout.php?page=client&amp;id=415" TargetMode="External"/><Relationship Id="rId328" Type="http://schemas.openxmlformats.org/officeDocument/2006/relationships/hyperlink" Target="https://librodeclientes.com/layout.php?page=client&amp;id=294" TargetMode="External"/><Relationship Id="rId449" Type="http://schemas.openxmlformats.org/officeDocument/2006/relationships/hyperlink" Target="https://librodeclientes.com/layout.php?page=client&amp;id=173" TargetMode="External"/><Relationship Id="rId440" Type="http://schemas.openxmlformats.org/officeDocument/2006/relationships/hyperlink" Target="https://librodeclientes.com/layout.php?page=client&amp;id=182" TargetMode="External"/><Relationship Id="rId561" Type="http://schemas.openxmlformats.org/officeDocument/2006/relationships/hyperlink" Target="https://librodeclientes.com/layout.php?page=client&amp;id=59" TargetMode="External"/><Relationship Id="rId560" Type="http://schemas.openxmlformats.org/officeDocument/2006/relationships/hyperlink" Target="https://librodeclientes.com/layout.php?page=client&amp;id=60" TargetMode="External"/><Relationship Id="rId202" Type="http://schemas.openxmlformats.org/officeDocument/2006/relationships/hyperlink" Target="https://librodeclientes.com/layout.php?page=client&amp;id=420" TargetMode="External"/><Relationship Id="rId323" Type="http://schemas.openxmlformats.org/officeDocument/2006/relationships/hyperlink" Target="https://librodeclientes.com/layout.php?page=client&amp;id=299" TargetMode="External"/><Relationship Id="rId444" Type="http://schemas.openxmlformats.org/officeDocument/2006/relationships/hyperlink" Target="https://librodeclientes.com/layout.php?page=client&amp;id=178" TargetMode="External"/><Relationship Id="rId565" Type="http://schemas.openxmlformats.org/officeDocument/2006/relationships/hyperlink" Target="https://librodeclientes.com/layout.php?page=client&amp;id=55" TargetMode="External"/><Relationship Id="rId201" Type="http://schemas.openxmlformats.org/officeDocument/2006/relationships/hyperlink" Target="https://librodeclientes.com/layout.php?page=client&amp;id=421" TargetMode="External"/><Relationship Id="rId322" Type="http://schemas.openxmlformats.org/officeDocument/2006/relationships/hyperlink" Target="https://librodeclientes.com/layout.php?page=client&amp;id=300" TargetMode="External"/><Relationship Id="rId443" Type="http://schemas.openxmlformats.org/officeDocument/2006/relationships/hyperlink" Target="https://librodeclientes.com/layout.php?page=client&amp;id=179" TargetMode="External"/><Relationship Id="rId564" Type="http://schemas.openxmlformats.org/officeDocument/2006/relationships/hyperlink" Target="https://librodeclientes.com/layout.php?page=client&amp;id=56" TargetMode="External"/><Relationship Id="rId200" Type="http://schemas.openxmlformats.org/officeDocument/2006/relationships/hyperlink" Target="https://librodeclientes.com/layout.php?page=client&amp;id=422" TargetMode="External"/><Relationship Id="rId321" Type="http://schemas.openxmlformats.org/officeDocument/2006/relationships/hyperlink" Target="https://librodeclientes.com/layout.php?page=client&amp;id=301" TargetMode="External"/><Relationship Id="rId442" Type="http://schemas.openxmlformats.org/officeDocument/2006/relationships/hyperlink" Target="https://librodeclientes.com/layout.php?page=client&amp;id=180" TargetMode="External"/><Relationship Id="rId563" Type="http://schemas.openxmlformats.org/officeDocument/2006/relationships/hyperlink" Target="https://librodeclientes.com/layout.php?page=client&amp;id=57" TargetMode="External"/><Relationship Id="rId320" Type="http://schemas.openxmlformats.org/officeDocument/2006/relationships/hyperlink" Target="https://librodeclientes.com/layout.php?page=client&amp;id=302" TargetMode="External"/><Relationship Id="rId441" Type="http://schemas.openxmlformats.org/officeDocument/2006/relationships/hyperlink" Target="https://librodeclientes.com/layout.php?page=client&amp;id=181" TargetMode="External"/><Relationship Id="rId562" Type="http://schemas.openxmlformats.org/officeDocument/2006/relationships/hyperlink" Target="https://librodeclientes.com/layout.php?page=client&amp;id=58" TargetMode="External"/><Relationship Id="rId316" Type="http://schemas.openxmlformats.org/officeDocument/2006/relationships/hyperlink" Target="https://librodeclientes.com/layout.php?page=client&amp;id=306" TargetMode="External"/><Relationship Id="rId437" Type="http://schemas.openxmlformats.org/officeDocument/2006/relationships/hyperlink" Target="https://librodeclientes.com/layout.php?page=client&amp;id=185" TargetMode="External"/><Relationship Id="rId558" Type="http://schemas.openxmlformats.org/officeDocument/2006/relationships/hyperlink" Target="https://librodeclientes.com/layout.php?page=client&amp;id=62" TargetMode="External"/><Relationship Id="rId315" Type="http://schemas.openxmlformats.org/officeDocument/2006/relationships/hyperlink" Target="https://librodeclientes.com/layout.php?page=client&amp;id=307" TargetMode="External"/><Relationship Id="rId436" Type="http://schemas.openxmlformats.org/officeDocument/2006/relationships/hyperlink" Target="https://librodeclientes.com/layout.php?page=client&amp;id=186" TargetMode="External"/><Relationship Id="rId557" Type="http://schemas.openxmlformats.org/officeDocument/2006/relationships/hyperlink" Target="https://librodeclientes.com/layout.php?page=client&amp;id=63" TargetMode="External"/><Relationship Id="rId314" Type="http://schemas.openxmlformats.org/officeDocument/2006/relationships/hyperlink" Target="https://librodeclientes.com/layout.php?page=client&amp;id=308" TargetMode="External"/><Relationship Id="rId435" Type="http://schemas.openxmlformats.org/officeDocument/2006/relationships/hyperlink" Target="https://librodeclientes.com/layout.php?page=client&amp;id=187" TargetMode="External"/><Relationship Id="rId556" Type="http://schemas.openxmlformats.org/officeDocument/2006/relationships/hyperlink" Target="https://librodeclientes.com/layout.php?page=client&amp;id=64" TargetMode="External"/><Relationship Id="rId313" Type="http://schemas.openxmlformats.org/officeDocument/2006/relationships/hyperlink" Target="https://librodeclientes.com/layout.php?page=client&amp;id=309" TargetMode="External"/><Relationship Id="rId434" Type="http://schemas.openxmlformats.org/officeDocument/2006/relationships/hyperlink" Target="https://librodeclientes.com/layout.php?page=client&amp;id=188" TargetMode="External"/><Relationship Id="rId555" Type="http://schemas.openxmlformats.org/officeDocument/2006/relationships/hyperlink" Target="https://librodeclientes.com/layout.php?page=client&amp;id=65" TargetMode="External"/><Relationship Id="rId319" Type="http://schemas.openxmlformats.org/officeDocument/2006/relationships/hyperlink" Target="https://librodeclientes.com/layout.php?page=client&amp;id=303" TargetMode="External"/><Relationship Id="rId318" Type="http://schemas.openxmlformats.org/officeDocument/2006/relationships/hyperlink" Target="https://librodeclientes.com/layout.php?page=client&amp;id=304" TargetMode="External"/><Relationship Id="rId439" Type="http://schemas.openxmlformats.org/officeDocument/2006/relationships/hyperlink" Target="https://librodeclientes.com/layout.php?page=client&amp;id=183" TargetMode="External"/><Relationship Id="rId317" Type="http://schemas.openxmlformats.org/officeDocument/2006/relationships/hyperlink" Target="https://librodeclientes.com/layout.php?page=client&amp;id=305" TargetMode="External"/><Relationship Id="rId438" Type="http://schemas.openxmlformats.org/officeDocument/2006/relationships/hyperlink" Target="https://librodeclientes.com/layout.php?page=client&amp;id=184" TargetMode="External"/><Relationship Id="rId559" Type="http://schemas.openxmlformats.org/officeDocument/2006/relationships/hyperlink" Target="https://librodeclientes.com/layout.php?page=client&amp;id=61" TargetMode="External"/><Relationship Id="rId550" Type="http://schemas.openxmlformats.org/officeDocument/2006/relationships/hyperlink" Target="https://librodeclientes.com/layout.php?page=client&amp;id=70" TargetMode="External"/><Relationship Id="rId312" Type="http://schemas.openxmlformats.org/officeDocument/2006/relationships/hyperlink" Target="https://librodeclientes.com/layout.php?page=client&amp;id=310" TargetMode="External"/><Relationship Id="rId433" Type="http://schemas.openxmlformats.org/officeDocument/2006/relationships/hyperlink" Target="https://librodeclientes.com/layout.php?page=client&amp;id=189" TargetMode="External"/><Relationship Id="rId554" Type="http://schemas.openxmlformats.org/officeDocument/2006/relationships/hyperlink" Target="https://librodeclientes.com/layout.php?page=client&amp;id=66" TargetMode="External"/><Relationship Id="rId311" Type="http://schemas.openxmlformats.org/officeDocument/2006/relationships/hyperlink" Target="https://librodeclientes.com/layout.php?page=client&amp;id=311" TargetMode="External"/><Relationship Id="rId432" Type="http://schemas.openxmlformats.org/officeDocument/2006/relationships/hyperlink" Target="https://librodeclientes.com/layout.php?page=client&amp;id=190" TargetMode="External"/><Relationship Id="rId553" Type="http://schemas.openxmlformats.org/officeDocument/2006/relationships/hyperlink" Target="https://librodeclientes.com/layout.php?page=client&amp;id=67" TargetMode="External"/><Relationship Id="rId310" Type="http://schemas.openxmlformats.org/officeDocument/2006/relationships/hyperlink" Target="https://librodeclientes.com/layout.php?page=client&amp;id=312" TargetMode="External"/><Relationship Id="rId431" Type="http://schemas.openxmlformats.org/officeDocument/2006/relationships/hyperlink" Target="https://librodeclientes.com/layout.php?page=client&amp;id=191" TargetMode="External"/><Relationship Id="rId552" Type="http://schemas.openxmlformats.org/officeDocument/2006/relationships/hyperlink" Target="https://librodeclientes.com/layout.php?page=client&amp;id=68" TargetMode="External"/><Relationship Id="rId430" Type="http://schemas.openxmlformats.org/officeDocument/2006/relationships/hyperlink" Target="https://librodeclientes.com/layout.php?page=client&amp;id=192" TargetMode="External"/><Relationship Id="rId551" Type="http://schemas.openxmlformats.org/officeDocument/2006/relationships/hyperlink" Target="https://librodeclientes.com/layout.php?page=client&amp;id=69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librodeclientes.com/layout.php?page=client&amp;id=121" TargetMode="External"/><Relationship Id="rId194" Type="http://schemas.openxmlformats.org/officeDocument/2006/relationships/hyperlink" Target="https://librodeclientes.com/layout.php?page=client&amp;id=539" TargetMode="External"/><Relationship Id="rId193" Type="http://schemas.openxmlformats.org/officeDocument/2006/relationships/hyperlink" Target="https://librodeclientes.com/layout.php?page=client&amp;id=553" TargetMode="External"/><Relationship Id="rId192" Type="http://schemas.openxmlformats.org/officeDocument/2006/relationships/hyperlink" Target="https://librodeclientes.com/layout.php?page=client&amp;id=553" TargetMode="External"/><Relationship Id="rId191" Type="http://schemas.openxmlformats.org/officeDocument/2006/relationships/hyperlink" Target="https://librodeclientes.com/layout.php?page=client&amp;id=68" TargetMode="External"/><Relationship Id="rId187" Type="http://schemas.openxmlformats.org/officeDocument/2006/relationships/hyperlink" Target="https://librodeclientes.com/layout.php?page=client&amp;id=540" TargetMode="External"/><Relationship Id="rId186" Type="http://schemas.openxmlformats.org/officeDocument/2006/relationships/hyperlink" Target="https://librodeclientes.com/layout.php?page=client&amp;id=529" TargetMode="External"/><Relationship Id="rId185" Type="http://schemas.openxmlformats.org/officeDocument/2006/relationships/hyperlink" Target="https://librodeclientes.com/layout.php?page=client&amp;id=93" TargetMode="External"/><Relationship Id="rId184" Type="http://schemas.openxmlformats.org/officeDocument/2006/relationships/hyperlink" Target="https://librodeclientes.com/layout.php?page=client&amp;id=554" TargetMode="External"/><Relationship Id="rId189" Type="http://schemas.openxmlformats.org/officeDocument/2006/relationships/hyperlink" Target="https://librodeclientes.com/layout.php?page=client&amp;id=121" TargetMode="External"/><Relationship Id="rId188" Type="http://schemas.openxmlformats.org/officeDocument/2006/relationships/hyperlink" Target="https://librodeclientes.com/layout.php?page=client&amp;id=540" TargetMode="External"/><Relationship Id="rId183" Type="http://schemas.openxmlformats.org/officeDocument/2006/relationships/hyperlink" Target="https://librodeclientes.com/layout.php?page=client&amp;id=554" TargetMode="External"/><Relationship Id="rId182" Type="http://schemas.openxmlformats.org/officeDocument/2006/relationships/hyperlink" Target="https://librodeclientes.com/layout.php?page=client&amp;id=501" TargetMode="External"/><Relationship Id="rId181" Type="http://schemas.openxmlformats.org/officeDocument/2006/relationships/hyperlink" Target="https://librodeclientes.com/layout.php?page=client&amp;id=501" TargetMode="External"/><Relationship Id="rId180" Type="http://schemas.openxmlformats.org/officeDocument/2006/relationships/hyperlink" Target="https://librodeclientes.com/layout.php?page=client&amp;id=517" TargetMode="External"/><Relationship Id="rId176" Type="http://schemas.openxmlformats.org/officeDocument/2006/relationships/hyperlink" Target="https://librodeclientes.com/layout.php?page=client&amp;id=501" TargetMode="External"/><Relationship Id="rId175" Type="http://schemas.openxmlformats.org/officeDocument/2006/relationships/hyperlink" Target="https://librodeclientes.com/layout.php?page=client&amp;id=501" TargetMode="External"/><Relationship Id="rId174" Type="http://schemas.openxmlformats.org/officeDocument/2006/relationships/hyperlink" Target="https://librodeclientes.com/layout.php?page=client&amp;id=78" TargetMode="External"/><Relationship Id="rId173" Type="http://schemas.openxmlformats.org/officeDocument/2006/relationships/hyperlink" Target="https://librodeclientes.com/layout.php?page=client&amp;id=78" TargetMode="External"/><Relationship Id="rId179" Type="http://schemas.openxmlformats.org/officeDocument/2006/relationships/hyperlink" Target="https://librodeclientes.com/layout.php?page=client&amp;id=121" TargetMode="External"/><Relationship Id="rId178" Type="http://schemas.openxmlformats.org/officeDocument/2006/relationships/hyperlink" Target="https://librodeclientes.com/layout.php?page=client&amp;id=517" TargetMode="External"/><Relationship Id="rId177" Type="http://schemas.openxmlformats.org/officeDocument/2006/relationships/hyperlink" Target="https://librodeclientes.com/layout.php?page=client&amp;id=501" TargetMode="External"/><Relationship Id="rId198" Type="http://schemas.openxmlformats.org/officeDocument/2006/relationships/hyperlink" Target="https://librodeclientes.com/layout.php?page=client&amp;id=551" TargetMode="External"/><Relationship Id="rId197" Type="http://schemas.openxmlformats.org/officeDocument/2006/relationships/hyperlink" Target="https://librodeclientes.com/layout.php?page=client&amp;id=552" TargetMode="External"/><Relationship Id="rId196" Type="http://schemas.openxmlformats.org/officeDocument/2006/relationships/hyperlink" Target="https://librodeclientes.com/layout.php?page=client&amp;id=551" TargetMode="External"/><Relationship Id="rId195" Type="http://schemas.openxmlformats.org/officeDocument/2006/relationships/hyperlink" Target="https://librodeclientes.com/layout.php?page=client&amp;id=539" TargetMode="External"/><Relationship Id="rId199" Type="http://schemas.openxmlformats.org/officeDocument/2006/relationships/hyperlink" Target="https://librodeclientes.com/layout.php?page=client&amp;id=551" TargetMode="External"/><Relationship Id="rId150" Type="http://schemas.openxmlformats.org/officeDocument/2006/relationships/hyperlink" Target="https://librodeclientes.com/layout.php?page=client&amp;id=542" TargetMode="External"/><Relationship Id="rId392" Type="http://schemas.openxmlformats.org/officeDocument/2006/relationships/hyperlink" Target="https://librodeclientes.com/layout.php?page=client&amp;id=495" TargetMode="External"/><Relationship Id="rId391" Type="http://schemas.openxmlformats.org/officeDocument/2006/relationships/hyperlink" Target="https://librodeclientes.com/layout.php?page=client&amp;id=495" TargetMode="External"/><Relationship Id="rId390" Type="http://schemas.openxmlformats.org/officeDocument/2006/relationships/hyperlink" Target="https://librodeclientes.com/layout.php?page=client&amp;id=496" TargetMode="External"/><Relationship Id="rId1" Type="http://schemas.openxmlformats.org/officeDocument/2006/relationships/hyperlink" Target="https://librodeclientes.com/layout.php?page=pedidos" TargetMode="External"/><Relationship Id="rId2" Type="http://schemas.openxmlformats.org/officeDocument/2006/relationships/hyperlink" Target="https://librodeclientes.com/layout.php?page=pedidos" TargetMode="External"/><Relationship Id="rId3" Type="http://schemas.openxmlformats.org/officeDocument/2006/relationships/hyperlink" Target="https://librodeclientes.com/layout.php?page=pedidos" TargetMode="External"/><Relationship Id="rId149" Type="http://schemas.openxmlformats.org/officeDocument/2006/relationships/hyperlink" Target="https://librodeclientes.com/layout.php?page=client&amp;id=542" TargetMode="External"/><Relationship Id="rId4" Type="http://schemas.openxmlformats.org/officeDocument/2006/relationships/hyperlink" Target="https://librodeclientes.com/layout.php?page=pedidos" TargetMode="External"/><Relationship Id="rId148" Type="http://schemas.openxmlformats.org/officeDocument/2006/relationships/hyperlink" Target="https://librodeclientes.com/layout.php?page=client&amp;id=542" TargetMode="External"/><Relationship Id="rId9" Type="http://schemas.openxmlformats.org/officeDocument/2006/relationships/hyperlink" Target="https://librodeclientes.com/layout.php?page=client&amp;id=165" TargetMode="External"/><Relationship Id="rId143" Type="http://schemas.openxmlformats.org/officeDocument/2006/relationships/hyperlink" Target="https://librodeclientes.com/layout.php?page=client&amp;id=568" TargetMode="External"/><Relationship Id="rId385" Type="http://schemas.openxmlformats.org/officeDocument/2006/relationships/hyperlink" Target="https://librodeclientes.com/layout.php?page=client&amp;id=479" TargetMode="External"/><Relationship Id="rId142" Type="http://schemas.openxmlformats.org/officeDocument/2006/relationships/hyperlink" Target="https://librodeclientes.com/layout.php?page=client&amp;id=567" TargetMode="External"/><Relationship Id="rId384" Type="http://schemas.openxmlformats.org/officeDocument/2006/relationships/hyperlink" Target="https://librodeclientes.com/layout.php?page=client&amp;id=481" TargetMode="External"/><Relationship Id="rId141" Type="http://schemas.openxmlformats.org/officeDocument/2006/relationships/hyperlink" Target="https://librodeclientes.com/layout.php?page=client&amp;id=569" TargetMode="External"/><Relationship Id="rId383" Type="http://schemas.openxmlformats.org/officeDocument/2006/relationships/hyperlink" Target="https://librodeclientes.com/layout.php?page=client&amp;id=498" TargetMode="External"/><Relationship Id="rId140" Type="http://schemas.openxmlformats.org/officeDocument/2006/relationships/hyperlink" Target="https://librodeclientes.com/layout.php?page=client&amp;id=171" TargetMode="External"/><Relationship Id="rId382" Type="http://schemas.openxmlformats.org/officeDocument/2006/relationships/hyperlink" Target="https://librodeclientes.com/layout.php?page=client&amp;id=498" TargetMode="External"/><Relationship Id="rId5" Type="http://schemas.openxmlformats.org/officeDocument/2006/relationships/hyperlink" Target="https://librodeclientes.com/layout.php?page=pedidos" TargetMode="External"/><Relationship Id="rId147" Type="http://schemas.openxmlformats.org/officeDocument/2006/relationships/hyperlink" Target="https://librodeclientes.com/layout.php?page=client&amp;id=541" TargetMode="External"/><Relationship Id="rId389" Type="http://schemas.openxmlformats.org/officeDocument/2006/relationships/hyperlink" Target="https://librodeclientes.com/layout.php?page=client&amp;id=496" TargetMode="External"/><Relationship Id="rId6" Type="http://schemas.openxmlformats.org/officeDocument/2006/relationships/hyperlink" Target="https://librodeclientes.com/layout.php?page=client&amp;id=589" TargetMode="External"/><Relationship Id="rId146" Type="http://schemas.openxmlformats.org/officeDocument/2006/relationships/hyperlink" Target="https://librodeclientes.com/layout.php?page=client&amp;id=78" TargetMode="External"/><Relationship Id="rId388" Type="http://schemas.openxmlformats.org/officeDocument/2006/relationships/hyperlink" Target="https://librodeclientes.com/layout.php?page=client&amp;id=496" TargetMode="External"/><Relationship Id="rId7" Type="http://schemas.openxmlformats.org/officeDocument/2006/relationships/hyperlink" Target="https://librodeclientes.com/layout.php?page=client&amp;id=584" TargetMode="External"/><Relationship Id="rId145" Type="http://schemas.openxmlformats.org/officeDocument/2006/relationships/hyperlink" Target="https://librodeclientes.com/layout.php?page=client&amp;id=554" TargetMode="External"/><Relationship Id="rId387" Type="http://schemas.openxmlformats.org/officeDocument/2006/relationships/hyperlink" Target="https://librodeclientes.com/layout.php?page=client&amp;id=472" TargetMode="External"/><Relationship Id="rId8" Type="http://schemas.openxmlformats.org/officeDocument/2006/relationships/hyperlink" Target="https://librodeclientes.com/layout.php?page=client&amp;id=365" TargetMode="External"/><Relationship Id="rId144" Type="http://schemas.openxmlformats.org/officeDocument/2006/relationships/hyperlink" Target="https://librodeclientes.com/layout.php?page=client&amp;id=570" TargetMode="External"/><Relationship Id="rId386" Type="http://schemas.openxmlformats.org/officeDocument/2006/relationships/hyperlink" Target="https://librodeclientes.com/layout.php?page=client&amp;id=471" TargetMode="External"/><Relationship Id="rId381" Type="http://schemas.openxmlformats.org/officeDocument/2006/relationships/hyperlink" Target="https://librodeclientes.com/layout.php?page=client&amp;id=499" TargetMode="External"/><Relationship Id="rId380" Type="http://schemas.openxmlformats.org/officeDocument/2006/relationships/hyperlink" Target="https://librodeclientes.com/layout.php?page=client&amp;id=499" TargetMode="External"/><Relationship Id="rId139" Type="http://schemas.openxmlformats.org/officeDocument/2006/relationships/hyperlink" Target="https://librodeclientes.com/layout.php?page=client&amp;id=544" TargetMode="External"/><Relationship Id="rId138" Type="http://schemas.openxmlformats.org/officeDocument/2006/relationships/hyperlink" Target="https://librodeclientes.com/layout.php?page=client&amp;id=550" TargetMode="External"/><Relationship Id="rId137" Type="http://schemas.openxmlformats.org/officeDocument/2006/relationships/hyperlink" Target="https://librodeclientes.com/layout.php?page=client&amp;id=68" TargetMode="External"/><Relationship Id="rId379" Type="http://schemas.openxmlformats.org/officeDocument/2006/relationships/hyperlink" Target="https://librodeclientes.com/layout.php?page=client&amp;id=500" TargetMode="External"/><Relationship Id="rId132" Type="http://schemas.openxmlformats.org/officeDocument/2006/relationships/hyperlink" Target="https://librodeclientes.com/layout.php?page=client&amp;id=572" TargetMode="External"/><Relationship Id="rId374" Type="http://schemas.openxmlformats.org/officeDocument/2006/relationships/hyperlink" Target="https://librodeclientes.com/layout.php?page=client&amp;id=473" TargetMode="External"/><Relationship Id="rId131" Type="http://schemas.openxmlformats.org/officeDocument/2006/relationships/hyperlink" Target="https://librodeclientes.com/layout.php?page=client&amp;id=572" TargetMode="External"/><Relationship Id="rId373" Type="http://schemas.openxmlformats.org/officeDocument/2006/relationships/hyperlink" Target="https://librodeclientes.com/layout.php?page=client&amp;id=473" TargetMode="External"/><Relationship Id="rId130" Type="http://schemas.openxmlformats.org/officeDocument/2006/relationships/hyperlink" Target="https://librodeclientes.com/layout.php?page=client&amp;id=572" TargetMode="External"/><Relationship Id="rId372" Type="http://schemas.openxmlformats.org/officeDocument/2006/relationships/hyperlink" Target="https://librodeclientes.com/layout.php?page=client&amp;id=473" TargetMode="External"/><Relationship Id="rId371" Type="http://schemas.openxmlformats.org/officeDocument/2006/relationships/hyperlink" Target="https://librodeclientes.com/layout.php?page=client&amp;id=473" TargetMode="External"/><Relationship Id="rId136" Type="http://schemas.openxmlformats.org/officeDocument/2006/relationships/hyperlink" Target="https://librodeclientes.com/layout.php?page=client&amp;id=571" TargetMode="External"/><Relationship Id="rId378" Type="http://schemas.openxmlformats.org/officeDocument/2006/relationships/hyperlink" Target="https://librodeclientes.com/layout.php?page=client&amp;id=473" TargetMode="External"/><Relationship Id="rId135" Type="http://schemas.openxmlformats.org/officeDocument/2006/relationships/hyperlink" Target="https://librodeclientes.com/layout.php?page=client&amp;id=572" TargetMode="External"/><Relationship Id="rId377" Type="http://schemas.openxmlformats.org/officeDocument/2006/relationships/hyperlink" Target="https://librodeclientes.com/layout.php?page=client&amp;id=473" TargetMode="External"/><Relationship Id="rId134" Type="http://schemas.openxmlformats.org/officeDocument/2006/relationships/hyperlink" Target="https://librodeclientes.com/layout.php?page=client&amp;id=572" TargetMode="External"/><Relationship Id="rId376" Type="http://schemas.openxmlformats.org/officeDocument/2006/relationships/hyperlink" Target="https://librodeclientes.com/layout.php?page=client&amp;id=473" TargetMode="External"/><Relationship Id="rId133" Type="http://schemas.openxmlformats.org/officeDocument/2006/relationships/hyperlink" Target="https://librodeclientes.com/layout.php?page=client&amp;id=572" TargetMode="External"/><Relationship Id="rId375" Type="http://schemas.openxmlformats.org/officeDocument/2006/relationships/hyperlink" Target="https://librodeclientes.com/layout.php?page=client&amp;id=473" TargetMode="External"/><Relationship Id="rId172" Type="http://schemas.openxmlformats.org/officeDocument/2006/relationships/hyperlink" Target="https://librodeclientes.com/layout.php?page=client&amp;id=78" TargetMode="External"/><Relationship Id="rId171" Type="http://schemas.openxmlformats.org/officeDocument/2006/relationships/hyperlink" Target="https://librodeclientes.com/layout.php?page=client&amp;id=555" TargetMode="External"/><Relationship Id="rId170" Type="http://schemas.openxmlformats.org/officeDocument/2006/relationships/hyperlink" Target="https://librodeclientes.com/layout.php?page=client&amp;id=555" TargetMode="External"/><Relationship Id="rId165" Type="http://schemas.openxmlformats.org/officeDocument/2006/relationships/hyperlink" Target="https://librodeclientes.com/layout.php?page=client&amp;id=558" TargetMode="External"/><Relationship Id="rId164" Type="http://schemas.openxmlformats.org/officeDocument/2006/relationships/hyperlink" Target="https://librodeclientes.com/layout.php?page=client&amp;id=559" TargetMode="External"/><Relationship Id="rId163" Type="http://schemas.openxmlformats.org/officeDocument/2006/relationships/hyperlink" Target="https://librodeclientes.com/layout.php?page=client&amp;id=560" TargetMode="External"/><Relationship Id="rId162" Type="http://schemas.openxmlformats.org/officeDocument/2006/relationships/hyperlink" Target="https://librodeclientes.com/layout.php?page=client&amp;id=561" TargetMode="External"/><Relationship Id="rId169" Type="http://schemas.openxmlformats.org/officeDocument/2006/relationships/hyperlink" Target="https://librodeclientes.com/layout.php?page=client&amp;id=555" TargetMode="External"/><Relationship Id="rId168" Type="http://schemas.openxmlformats.org/officeDocument/2006/relationships/hyperlink" Target="https://librodeclientes.com/layout.php?page=client&amp;id=556" TargetMode="External"/><Relationship Id="rId167" Type="http://schemas.openxmlformats.org/officeDocument/2006/relationships/hyperlink" Target="https://librodeclientes.com/layout.php?page=client&amp;id=556" TargetMode="External"/><Relationship Id="rId166" Type="http://schemas.openxmlformats.org/officeDocument/2006/relationships/hyperlink" Target="https://librodeclientes.com/layout.php?page=client&amp;id=557" TargetMode="External"/><Relationship Id="rId161" Type="http://schemas.openxmlformats.org/officeDocument/2006/relationships/hyperlink" Target="https://librodeclientes.com/layout.php?page=client&amp;id=253" TargetMode="External"/><Relationship Id="rId160" Type="http://schemas.openxmlformats.org/officeDocument/2006/relationships/hyperlink" Target="https://librodeclientes.com/layout.php?page=client&amp;id=253" TargetMode="External"/><Relationship Id="rId159" Type="http://schemas.openxmlformats.org/officeDocument/2006/relationships/hyperlink" Target="https://librodeclientes.com/layout.php?page=client&amp;id=253" TargetMode="External"/><Relationship Id="rId154" Type="http://schemas.openxmlformats.org/officeDocument/2006/relationships/hyperlink" Target="https://librodeclientes.com/layout.php?page=client&amp;id=564" TargetMode="External"/><Relationship Id="rId396" Type="http://schemas.openxmlformats.org/officeDocument/2006/relationships/hyperlink" Target="https://librodeclientes.com/layout.php?page=client&amp;id=494" TargetMode="External"/><Relationship Id="rId153" Type="http://schemas.openxmlformats.org/officeDocument/2006/relationships/hyperlink" Target="https://librodeclientes.com/layout.php?page=client&amp;id=565" TargetMode="External"/><Relationship Id="rId395" Type="http://schemas.openxmlformats.org/officeDocument/2006/relationships/hyperlink" Target="https://librodeclientes.com/layout.php?page=client&amp;id=494" TargetMode="External"/><Relationship Id="rId152" Type="http://schemas.openxmlformats.org/officeDocument/2006/relationships/hyperlink" Target="https://librodeclientes.com/layout.php?page=client&amp;id=68" TargetMode="External"/><Relationship Id="rId394" Type="http://schemas.openxmlformats.org/officeDocument/2006/relationships/hyperlink" Target="https://librodeclientes.com/layout.php?page=client&amp;id=494" TargetMode="External"/><Relationship Id="rId151" Type="http://schemas.openxmlformats.org/officeDocument/2006/relationships/hyperlink" Target="https://librodeclientes.com/layout.php?page=client&amp;id=566" TargetMode="External"/><Relationship Id="rId393" Type="http://schemas.openxmlformats.org/officeDocument/2006/relationships/hyperlink" Target="https://librodeclientes.com/layout.php?page=client&amp;id=495" TargetMode="External"/><Relationship Id="rId158" Type="http://schemas.openxmlformats.org/officeDocument/2006/relationships/hyperlink" Target="https://librodeclientes.com/layout.php?page=client&amp;id=562" TargetMode="External"/><Relationship Id="rId157" Type="http://schemas.openxmlformats.org/officeDocument/2006/relationships/hyperlink" Target="https://librodeclientes.com/layout.php?page=client&amp;id=212" TargetMode="External"/><Relationship Id="rId399" Type="http://schemas.openxmlformats.org/officeDocument/2006/relationships/hyperlink" Target="https://librodeclientes.com/layout.php?page=client&amp;id=492" TargetMode="External"/><Relationship Id="rId156" Type="http://schemas.openxmlformats.org/officeDocument/2006/relationships/hyperlink" Target="https://librodeclientes.com/layout.php?page=client&amp;id=360" TargetMode="External"/><Relationship Id="rId398" Type="http://schemas.openxmlformats.org/officeDocument/2006/relationships/hyperlink" Target="https://librodeclientes.com/layout.php?page=client&amp;id=493" TargetMode="External"/><Relationship Id="rId155" Type="http://schemas.openxmlformats.org/officeDocument/2006/relationships/hyperlink" Target="https://librodeclientes.com/layout.php?page=client&amp;id=563" TargetMode="External"/><Relationship Id="rId397" Type="http://schemas.openxmlformats.org/officeDocument/2006/relationships/hyperlink" Target="https://librodeclientes.com/layout.php?page=client&amp;id=78" TargetMode="External"/><Relationship Id="rId808" Type="http://schemas.openxmlformats.org/officeDocument/2006/relationships/hyperlink" Target="https://librodeclientes.com/layout.php?page=client&amp;id=184" TargetMode="External"/><Relationship Id="rId807" Type="http://schemas.openxmlformats.org/officeDocument/2006/relationships/hyperlink" Target="https://librodeclientes.com/layout.php?page=client&amp;id=211" TargetMode="External"/><Relationship Id="rId806" Type="http://schemas.openxmlformats.org/officeDocument/2006/relationships/hyperlink" Target="https://librodeclientes.com/layout.php?page=client&amp;id=193" TargetMode="External"/><Relationship Id="rId805" Type="http://schemas.openxmlformats.org/officeDocument/2006/relationships/hyperlink" Target="https://librodeclientes.com/layout.php?page=client&amp;id=212" TargetMode="External"/><Relationship Id="rId809" Type="http://schemas.openxmlformats.org/officeDocument/2006/relationships/hyperlink" Target="https://librodeclientes.com/layout.php?page=client&amp;id=210" TargetMode="External"/><Relationship Id="rId800" Type="http://schemas.openxmlformats.org/officeDocument/2006/relationships/hyperlink" Target="https://librodeclientes.com/layout.php?page=client&amp;id=200" TargetMode="External"/><Relationship Id="rId804" Type="http://schemas.openxmlformats.org/officeDocument/2006/relationships/hyperlink" Target="https://librodeclientes.com/layout.php?page=client&amp;id=212" TargetMode="External"/><Relationship Id="rId803" Type="http://schemas.openxmlformats.org/officeDocument/2006/relationships/hyperlink" Target="https://librodeclientes.com/layout.php?page=client&amp;id=213" TargetMode="External"/><Relationship Id="rId802" Type="http://schemas.openxmlformats.org/officeDocument/2006/relationships/hyperlink" Target="https://librodeclientes.com/layout.php?page=client&amp;id=213" TargetMode="External"/><Relationship Id="rId801" Type="http://schemas.openxmlformats.org/officeDocument/2006/relationships/hyperlink" Target="https://librodeclientes.com/layout.php?page=client&amp;id=139" TargetMode="External"/><Relationship Id="rId40" Type="http://schemas.openxmlformats.org/officeDocument/2006/relationships/hyperlink" Target="https://librodeclientes.com/layout.php?page=client&amp;id=608" TargetMode="External"/><Relationship Id="rId42" Type="http://schemas.openxmlformats.org/officeDocument/2006/relationships/hyperlink" Target="https://librodeclientes.com/layout.php?page=client&amp;id=601" TargetMode="External"/><Relationship Id="rId41" Type="http://schemas.openxmlformats.org/officeDocument/2006/relationships/hyperlink" Target="https://librodeclientes.com/layout.php?page=client&amp;id=607" TargetMode="External"/><Relationship Id="rId44" Type="http://schemas.openxmlformats.org/officeDocument/2006/relationships/hyperlink" Target="https://librodeclientes.com/layout.php?page=client&amp;id=603" TargetMode="External"/><Relationship Id="rId43" Type="http://schemas.openxmlformats.org/officeDocument/2006/relationships/hyperlink" Target="https://librodeclientes.com/layout.php?page=client&amp;id=601" TargetMode="External"/><Relationship Id="rId46" Type="http://schemas.openxmlformats.org/officeDocument/2006/relationships/hyperlink" Target="https://librodeclientes.com/layout.php?page=client&amp;id=602" TargetMode="External"/><Relationship Id="rId45" Type="http://schemas.openxmlformats.org/officeDocument/2006/relationships/hyperlink" Target="https://librodeclientes.com/layout.php?page=client&amp;id=602" TargetMode="External"/><Relationship Id="rId509" Type="http://schemas.openxmlformats.org/officeDocument/2006/relationships/hyperlink" Target="https://librodeclientes.com/layout.php?page=client&amp;id=441" TargetMode="External"/><Relationship Id="rId508" Type="http://schemas.openxmlformats.org/officeDocument/2006/relationships/hyperlink" Target="https://librodeclientes.com/layout.php?page=client&amp;id=441" TargetMode="External"/><Relationship Id="rId503" Type="http://schemas.openxmlformats.org/officeDocument/2006/relationships/hyperlink" Target="https://librodeclientes.com/layout.php?page=client&amp;id=378" TargetMode="External"/><Relationship Id="rId745" Type="http://schemas.openxmlformats.org/officeDocument/2006/relationships/hyperlink" Target="https://librodeclientes.com/layout.php?page=client&amp;id=355" TargetMode="External"/><Relationship Id="rId987" Type="http://schemas.openxmlformats.org/officeDocument/2006/relationships/hyperlink" Target="https://librodeclientes.com/layout.php?page=client&amp;id=129" TargetMode="External"/><Relationship Id="rId502" Type="http://schemas.openxmlformats.org/officeDocument/2006/relationships/hyperlink" Target="https://librodeclientes.com/layout.php?page=client&amp;id=442" TargetMode="External"/><Relationship Id="rId744" Type="http://schemas.openxmlformats.org/officeDocument/2006/relationships/hyperlink" Target="https://librodeclientes.com/layout.php?page=client&amp;id=356" TargetMode="External"/><Relationship Id="rId986" Type="http://schemas.openxmlformats.org/officeDocument/2006/relationships/hyperlink" Target="https://librodeclientes.com/layout.php?page=client&amp;id=129" TargetMode="External"/><Relationship Id="rId501" Type="http://schemas.openxmlformats.org/officeDocument/2006/relationships/hyperlink" Target="https://librodeclientes.com/layout.php?page=client&amp;id=442" TargetMode="External"/><Relationship Id="rId743" Type="http://schemas.openxmlformats.org/officeDocument/2006/relationships/hyperlink" Target="https://librodeclientes.com/layout.php?page=client&amp;id=352" TargetMode="External"/><Relationship Id="rId985" Type="http://schemas.openxmlformats.org/officeDocument/2006/relationships/hyperlink" Target="https://librodeclientes.com/layout.php?page=client&amp;id=129" TargetMode="External"/><Relationship Id="rId500" Type="http://schemas.openxmlformats.org/officeDocument/2006/relationships/hyperlink" Target="https://librodeclientes.com/layout.php?page=client&amp;id=442" TargetMode="External"/><Relationship Id="rId742" Type="http://schemas.openxmlformats.org/officeDocument/2006/relationships/hyperlink" Target="https://librodeclientes.com/layout.php?page=client&amp;id=352" TargetMode="External"/><Relationship Id="rId984" Type="http://schemas.openxmlformats.org/officeDocument/2006/relationships/hyperlink" Target="https://librodeclientes.com/layout.php?page=client&amp;id=129" TargetMode="External"/><Relationship Id="rId507" Type="http://schemas.openxmlformats.org/officeDocument/2006/relationships/hyperlink" Target="https://librodeclientes.com/layout.php?page=client&amp;id=441" TargetMode="External"/><Relationship Id="rId749" Type="http://schemas.openxmlformats.org/officeDocument/2006/relationships/hyperlink" Target="https://librodeclientes.com/layout.php?page=client&amp;id=225" TargetMode="External"/><Relationship Id="rId506" Type="http://schemas.openxmlformats.org/officeDocument/2006/relationships/hyperlink" Target="https://librodeclientes.com/layout.php?page=client&amp;id=212" TargetMode="External"/><Relationship Id="rId748" Type="http://schemas.openxmlformats.org/officeDocument/2006/relationships/hyperlink" Target="https://librodeclientes.com/layout.php?page=client&amp;id=351" TargetMode="External"/><Relationship Id="rId505" Type="http://schemas.openxmlformats.org/officeDocument/2006/relationships/hyperlink" Target="https://librodeclientes.com/layout.php?page=client&amp;id=141" TargetMode="External"/><Relationship Id="rId747" Type="http://schemas.openxmlformats.org/officeDocument/2006/relationships/hyperlink" Target="https://librodeclientes.com/layout.php?page=client&amp;id=358" TargetMode="External"/><Relationship Id="rId989" Type="http://schemas.openxmlformats.org/officeDocument/2006/relationships/hyperlink" Target="https://librodeclientes.com/layout.php?page=client&amp;id=129" TargetMode="External"/><Relationship Id="rId504" Type="http://schemas.openxmlformats.org/officeDocument/2006/relationships/hyperlink" Target="https://librodeclientes.com/layout.php?page=client&amp;id=439" TargetMode="External"/><Relationship Id="rId746" Type="http://schemas.openxmlformats.org/officeDocument/2006/relationships/hyperlink" Target="https://librodeclientes.com/layout.php?page=client&amp;id=357" TargetMode="External"/><Relationship Id="rId988" Type="http://schemas.openxmlformats.org/officeDocument/2006/relationships/hyperlink" Target="https://librodeclientes.com/layout.php?page=client&amp;id=129" TargetMode="External"/><Relationship Id="rId48" Type="http://schemas.openxmlformats.org/officeDocument/2006/relationships/hyperlink" Target="https://librodeclientes.com/layout.php?page=client&amp;id=606" TargetMode="External"/><Relationship Id="rId47" Type="http://schemas.openxmlformats.org/officeDocument/2006/relationships/hyperlink" Target="https://librodeclientes.com/layout.php?page=client&amp;id=559" TargetMode="External"/><Relationship Id="rId49" Type="http://schemas.openxmlformats.org/officeDocument/2006/relationships/hyperlink" Target="https://librodeclientes.com/layout.php?page=client&amp;id=605" TargetMode="External"/><Relationship Id="rId741" Type="http://schemas.openxmlformats.org/officeDocument/2006/relationships/hyperlink" Target="https://librodeclientes.com/layout.php?page=client&amp;id=78" TargetMode="External"/><Relationship Id="rId983" Type="http://schemas.openxmlformats.org/officeDocument/2006/relationships/hyperlink" Target="https://librodeclientes.com/layout.php?page=client&amp;id=129" TargetMode="External"/><Relationship Id="rId740" Type="http://schemas.openxmlformats.org/officeDocument/2006/relationships/hyperlink" Target="https://librodeclientes.com/layout.php?page=client&amp;id=356" TargetMode="External"/><Relationship Id="rId982" Type="http://schemas.openxmlformats.org/officeDocument/2006/relationships/hyperlink" Target="https://librodeclientes.com/layout.php?page=client&amp;id=129" TargetMode="External"/><Relationship Id="rId981" Type="http://schemas.openxmlformats.org/officeDocument/2006/relationships/hyperlink" Target="https://librodeclientes.com/layout.php?page=client&amp;id=129" TargetMode="External"/><Relationship Id="rId980" Type="http://schemas.openxmlformats.org/officeDocument/2006/relationships/hyperlink" Target="https://librodeclientes.com/layout.php?page=client&amp;id=130" TargetMode="External"/><Relationship Id="rId31" Type="http://schemas.openxmlformats.org/officeDocument/2006/relationships/hyperlink" Target="https://librodeclientes.com/layout.php?page=client&amp;id=495" TargetMode="External"/><Relationship Id="rId30" Type="http://schemas.openxmlformats.org/officeDocument/2006/relationships/hyperlink" Target="https://librodeclientes.com/layout.php?page=client&amp;id=495" TargetMode="External"/><Relationship Id="rId33" Type="http://schemas.openxmlformats.org/officeDocument/2006/relationships/hyperlink" Target="https://librodeclientes.com/layout.php?page=client&amp;id=610" TargetMode="External"/><Relationship Id="rId32" Type="http://schemas.openxmlformats.org/officeDocument/2006/relationships/hyperlink" Target="https://librodeclientes.com/layout.php?page=client&amp;id=131" TargetMode="External"/><Relationship Id="rId35" Type="http://schemas.openxmlformats.org/officeDocument/2006/relationships/hyperlink" Target="https://librodeclientes.com/layout.php?page=client&amp;id=610" TargetMode="External"/><Relationship Id="rId34" Type="http://schemas.openxmlformats.org/officeDocument/2006/relationships/hyperlink" Target="https://librodeclientes.com/layout.php?page=client&amp;id=610" TargetMode="External"/><Relationship Id="rId739" Type="http://schemas.openxmlformats.org/officeDocument/2006/relationships/hyperlink" Target="https://librodeclientes.com/layout.php?page=client&amp;id=359" TargetMode="External"/><Relationship Id="rId734" Type="http://schemas.openxmlformats.org/officeDocument/2006/relationships/hyperlink" Target="https://librodeclientes.com/layout.php?page=client&amp;id=220" TargetMode="External"/><Relationship Id="rId976" Type="http://schemas.openxmlformats.org/officeDocument/2006/relationships/hyperlink" Target="https://librodeclientes.com/layout.php?page=client&amp;id=93" TargetMode="External"/><Relationship Id="rId733" Type="http://schemas.openxmlformats.org/officeDocument/2006/relationships/hyperlink" Target="https://librodeclientes.com/layout.php?page=client&amp;id=220" TargetMode="External"/><Relationship Id="rId975" Type="http://schemas.openxmlformats.org/officeDocument/2006/relationships/hyperlink" Target="https://librodeclientes.com/layout.php?page=client&amp;id=93" TargetMode="External"/><Relationship Id="rId732" Type="http://schemas.openxmlformats.org/officeDocument/2006/relationships/hyperlink" Target="https://librodeclientes.com/layout.php?page=client&amp;id=220" TargetMode="External"/><Relationship Id="rId974" Type="http://schemas.openxmlformats.org/officeDocument/2006/relationships/hyperlink" Target="https://librodeclientes.com/layout.php?page=client&amp;id=131" TargetMode="External"/><Relationship Id="rId731" Type="http://schemas.openxmlformats.org/officeDocument/2006/relationships/hyperlink" Target="https://librodeclientes.com/layout.php?page=client&amp;id=360" TargetMode="External"/><Relationship Id="rId973" Type="http://schemas.openxmlformats.org/officeDocument/2006/relationships/hyperlink" Target="https://librodeclientes.com/layout.php?page=client&amp;id=133" TargetMode="External"/><Relationship Id="rId738" Type="http://schemas.openxmlformats.org/officeDocument/2006/relationships/hyperlink" Target="https://librodeclientes.com/layout.php?page=client&amp;id=208" TargetMode="External"/><Relationship Id="rId737" Type="http://schemas.openxmlformats.org/officeDocument/2006/relationships/hyperlink" Target="https://librodeclientes.com/layout.php?page=client&amp;id=208" TargetMode="External"/><Relationship Id="rId979" Type="http://schemas.openxmlformats.org/officeDocument/2006/relationships/hyperlink" Target="https://librodeclientes.com/layout.php?page=client&amp;id=130" TargetMode="External"/><Relationship Id="rId736" Type="http://schemas.openxmlformats.org/officeDocument/2006/relationships/hyperlink" Target="https://librodeclientes.com/layout.php?page=client&amp;id=208" TargetMode="External"/><Relationship Id="rId978" Type="http://schemas.openxmlformats.org/officeDocument/2006/relationships/hyperlink" Target="https://librodeclientes.com/layout.php?page=client&amp;id=130" TargetMode="External"/><Relationship Id="rId735" Type="http://schemas.openxmlformats.org/officeDocument/2006/relationships/hyperlink" Target="https://librodeclientes.com/layout.php?page=client&amp;id=207" TargetMode="External"/><Relationship Id="rId977" Type="http://schemas.openxmlformats.org/officeDocument/2006/relationships/hyperlink" Target="https://librodeclientes.com/layout.php?page=client&amp;id=93" TargetMode="External"/><Relationship Id="rId37" Type="http://schemas.openxmlformats.org/officeDocument/2006/relationships/hyperlink" Target="https://librodeclientes.com/layout.php?page=client&amp;id=131" TargetMode="External"/><Relationship Id="rId36" Type="http://schemas.openxmlformats.org/officeDocument/2006/relationships/hyperlink" Target="https://librodeclientes.com/layout.php?page=client&amp;id=610" TargetMode="External"/><Relationship Id="rId39" Type="http://schemas.openxmlformats.org/officeDocument/2006/relationships/hyperlink" Target="https://librodeclientes.com/layout.php?page=client&amp;id=604" TargetMode="External"/><Relationship Id="rId38" Type="http://schemas.openxmlformats.org/officeDocument/2006/relationships/hyperlink" Target="https://librodeclientes.com/layout.php?page=client&amp;id=609" TargetMode="External"/><Relationship Id="rId730" Type="http://schemas.openxmlformats.org/officeDocument/2006/relationships/hyperlink" Target="https://librodeclientes.com/layout.php?page=client&amp;id=171" TargetMode="External"/><Relationship Id="rId972" Type="http://schemas.openxmlformats.org/officeDocument/2006/relationships/hyperlink" Target="https://librodeclientes.com/layout.php?page=client&amp;id=134" TargetMode="External"/><Relationship Id="rId971" Type="http://schemas.openxmlformats.org/officeDocument/2006/relationships/hyperlink" Target="https://librodeclientes.com/layout.php?page=client&amp;id=128" TargetMode="External"/><Relationship Id="rId970" Type="http://schemas.openxmlformats.org/officeDocument/2006/relationships/hyperlink" Target="https://librodeclientes.com/layout.php?page=client&amp;id=112" TargetMode="External"/><Relationship Id="rId20" Type="http://schemas.openxmlformats.org/officeDocument/2006/relationships/hyperlink" Target="https://librodeclientes.com/layout.php?page=client&amp;id=612" TargetMode="External"/><Relationship Id="rId22" Type="http://schemas.openxmlformats.org/officeDocument/2006/relationships/hyperlink" Target="https://librodeclientes.com/layout.php?page=client&amp;id=611" TargetMode="External"/><Relationship Id="rId21" Type="http://schemas.openxmlformats.org/officeDocument/2006/relationships/hyperlink" Target="https://librodeclientes.com/layout.php?page=client&amp;id=611" TargetMode="External"/><Relationship Id="rId24" Type="http://schemas.openxmlformats.org/officeDocument/2006/relationships/hyperlink" Target="https://librodeclientes.com/layout.php?page=client&amp;id=584" TargetMode="External"/><Relationship Id="rId23" Type="http://schemas.openxmlformats.org/officeDocument/2006/relationships/hyperlink" Target="https://librodeclientes.com/layout.php?page=client&amp;id=141" TargetMode="External"/><Relationship Id="rId525" Type="http://schemas.openxmlformats.org/officeDocument/2006/relationships/hyperlink" Target="https://librodeclientes.com/layout.php?page=client&amp;id=431" TargetMode="External"/><Relationship Id="rId767" Type="http://schemas.openxmlformats.org/officeDocument/2006/relationships/hyperlink" Target="https://librodeclientes.com/layout.php?page=client&amp;id=224" TargetMode="External"/><Relationship Id="rId524" Type="http://schemas.openxmlformats.org/officeDocument/2006/relationships/hyperlink" Target="https://librodeclientes.com/layout.php?page=client&amp;id=432" TargetMode="External"/><Relationship Id="rId766" Type="http://schemas.openxmlformats.org/officeDocument/2006/relationships/hyperlink" Target="https://librodeclientes.com/layout.php?page=client&amp;id=170" TargetMode="External"/><Relationship Id="rId523" Type="http://schemas.openxmlformats.org/officeDocument/2006/relationships/hyperlink" Target="https://librodeclientes.com/layout.php?page=client&amp;id=433" TargetMode="External"/><Relationship Id="rId765" Type="http://schemas.openxmlformats.org/officeDocument/2006/relationships/hyperlink" Target="https://librodeclientes.com/layout.php?page=client&amp;id=170" TargetMode="External"/><Relationship Id="rId522" Type="http://schemas.openxmlformats.org/officeDocument/2006/relationships/hyperlink" Target="https://librodeclientes.com/layout.php?page=client&amp;id=434" TargetMode="External"/><Relationship Id="rId764" Type="http://schemas.openxmlformats.org/officeDocument/2006/relationships/hyperlink" Target="https://librodeclientes.com/layout.php?page=client&amp;id=170" TargetMode="External"/><Relationship Id="rId529" Type="http://schemas.openxmlformats.org/officeDocument/2006/relationships/hyperlink" Target="https://librodeclientes.com/layout.php?page=client&amp;id=193" TargetMode="External"/><Relationship Id="rId528" Type="http://schemas.openxmlformats.org/officeDocument/2006/relationships/hyperlink" Target="https://librodeclientes.com/layout.php?page=client&amp;id=212" TargetMode="External"/><Relationship Id="rId527" Type="http://schemas.openxmlformats.org/officeDocument/2006/relationships/hyperlink" Target="https://librodeclientes.com/layout.php?page=client&amp;id=407" TargetMode="External"/><Relationship Id="rId769" Type="http://schemas.openxmlformats.org/officeDocument/2006/relationships/hyperlink" Target="https://librodeclientes.com/layout.php?page=client&amp;id=179" TargetMode="External"/><Relationship Id="rId526" Type="http://schemas.openxmlformats.org/officeDocument/2006/relationships/hyperlink" Target="https://librodeclientes.com/layout.php?page=client&amp;id=431" TargetMode="External"/><Relationship Id="rId768" Type="http://schemas.openxmlformats.org/officeDocument/2006/relationships/hyperlink" Target="https://librodeclientes.com/layout.php?page=client&amp;id=224" TargetMode="External"/><Relationship Id="rId26" Type="http://schemas.openxmlformats.org/officeDocument/2006/relationships/hyperlink" Target="https://librodeclientes.com/layout.php?page=client&amp;id=601" TargetMode="External"/><Relationship Id="rId25" Type="http://schemas.openxmlformats.org/officeDocument/2006/relationships/hyperlink" Target="https://librodeclientes.com/layout.php?page=client&amp;id=605" TargetMode="External"/><Relationship Id="rId28" Type="http://schemas.openxmlformats.org/officeDocument/2006/relationships/hyperlink" Target="https://librodeclientes.com/layout.php?page=client&amp;id=585" TargetMode="External"/><Relationship Id="rId27" Type="http://schemas.openxmlformats.org/officeDocument/2006/relationships/hyperlink" Target="https://librodeclientes.com/layout.php?page=client&amp;id=587" TargetMode="External"/><Relationship Id="rId521" Type="http://schemas.openxmlformats.org/officeDocument/2006/relationships/hyperlink" Target="https://librodeclientes.com/layout.php?page=client&amp;id=417" TargetMode="External"/><Relationship Id="rId763" Type="http://schemas.openxmlformats.org/officeDocument/2006/relationships/hyperlink" Target="https://librodeclientes.com/layout.php?page=client&amp;id=226" TargetMode="External"/><Relationship Id="rId29" Type="http://schemas.openxmlformats.org/officeDocument/2006/relationships/hyperlink" Target="https://librodeclientes.com/layout.php?page=client&amp;id=585" TargetMode="External"/><Relationship Id="rId520" Type="http://schemas.openxmlformats.org/officeDocument/2006/relationships/hyperlink" Target="https://librodeclientes.com/layout.php?page=client&amp;id=120" TargetMode="External"/><Relationship Id="rId762" Type="http://schemas.openxmlformats.org/officeDocument/2006/relationships/hyperlink" Target="https://librodeclientes.com/layout.php?page=client&amp;id=226" TargetMode="External"/><Relationship Id="rId761" Type="http://schemas.openxmlformats.org/officeDocument/2006/relationships/hyperlink" Target="https://librodeclientes.com/layout.php?page=client&amp;id=226" TargetMode="External"/><Relationship Id="rId760" Type="http://schemas.openxmlformats.org/officeDocument/2006/relationships/hyperlink" Target="https://librodeclientes.com/layout.php?page=client&amp;id=227" TargetMode="External"/><Relationship Id="rId11" Type="http://schemas.openxmlformats.org/officeDocument/2006/relationships/hyperlink" Target="https://librodeclientes.com/layout.php?page=client&amp;id=620" TargetMode="External"/><Relationship Id="rId10" Type="http://schemas.openxmlformats.org/officeDocument/2006/relationships/hyperlink" Target="https://librodeclientes.com/layout.php?page=client&amp;id=271" TargetMode="External"/><Relationship Id="rId13" Type="http://schemas.openxmlformats.org/officeDocument/2006/relationships/hyperlink" Target="https://librodeclientes.com/layout.php?page=client&amp;id=618" TargetMode="External"/><Relationship Id="rId12" Type="http://schemas.openxmlformats.org/officeDocument/2006/relationships/hyperlink" Target="https://librodeclientes.com/layout.php?page=client&amp;id=619" TargetMode="External"/><Relationship Id="rId519" Type="http://schemas.openxmlformats.org/officeDocument/2006/relationships/hyperlink" Target="https://librodeclientes.com/layout.php?page=client&amp;id=435" TargetMode="External"/><Relationship Id="rId514" Type="http://schemas.openxmlformats.org/officeDocument/2006/relationships/hyperlink" Target="https://librodeclientes.com/layout.php?page=client&amp;id=212" TargetMode="External"/><Relationship Id="rId756" Type="http://schemas.openxmlformats.org/officeDocument/2006/relationships/hyperlink" Target="https://librodeclientes.com/layout.php?page=client&amp;id=229" TargetMode="External"/><Relationship Id="rId998" Type="http://schemas.openxmlformats.org/officeDocument/2006/relationships/hyperlink" Target="https://librodeclientes.com/layout.php?page=client&amp;id=128" TargetMode="External"/><Relationship Id="rId513" Type="http://schemas.openxmlformats.org/officeDocument/2006/relationships/hyperlink" Target="https://librodeclientes.com/layout.php?page=client&amp;id=438" TargetMode="External"/><Relationship Id="rId755" Type="http://schemas.openxmlformats.org/officeDocument/2006/relationships/hyperlink" Target="https://librodeclientes.com/layout.php?page=client&amp;id=229" TargetMode="External"/><Relationship Id="rId997" Type="http://schemas.openxmlformats.org/officeDocument/2006/relationships/hyperlink" Target="https://librodeclientes.com/layout.php?page=client&amp;id=128" TargetMode="External"/><Relationship Id="rId512" Type="http://schemas.openxmlformats.org/officeDocument/2006/relationships/hyperlink" Target="https://librodeclientes.com/layout.php?page=client&amp;id=440" TargetMode="External"/><Relationship Id="rId754" Type="http://schemas.openxmlformats.org/officeDocument/2006/relationships/hyperlink" Target="https://librodeclientes.com/layout.php?page=client&amp;id=230" TargetMode="External"/><Relationship Id="rId996" Type="http://schemas.openxmlformats.org/officeDocument/2006/relationships/hyperlink" Target="https://librodeclientes.com/layout.php?page=client&amp;id=128" TargetMode="External"/><Relationship Id="rId511" Type="http://schemas.openxmlformats.org/officeDocument/2006/relationships/hyperlink" Target="https://librodeclientes.com/layout.php?page=client&amp;id=440" TargetMode="External"/><Relationship Id="rId753" Type="http://schemas.openxmlformats.org/officeDocument/2006/relationships/hyperlink" Target="https://librodeclientes.com/layout.php?page=client&amp;id=196" TargetMode="External"/><Relationship Id="rId995" Type="http://schemas.openxmlformats.org/officeDocument/2006/relationships/hyperlink" Target="https://librodeclientes.com/layout.php?page=client&amp;id=128" TargetMode="External"/><Relationship Id="rId518" Type="http://schemas.openxmlformats.org/officeDocument/2006/relationships/hyperlink" Target="https://librodeclientes.com/layout.php?page=client&amp;id=435" TargetMode="External"/><Relationship Id="rId517" Type="http://schemas.openxmlformats.org/officeDocument/2006/relationships/hyperlink" Target="https://librodeclientes.com/layout.php?page=client&amp;id=435" TargetMode="External"/><Relationship Id="rId759" Type="http://schemas.openxmlformats.org/officeDocument/2006/relationships/hyperlink" Target="https://librodeclientes.com/layout.php?page=client&amp;id=227" TargetMode="External"/><Relationship Id="rId516" Type="http://schemas.openxmlformats.org/officeDocument/2006/relationships/hyperlink" Target="https://librodeclientes.com/layout.php?page=client&amp;id=436" TargetMode="External"/><Relationship Id="rId758" Type="http://schemas.openxmlformats.org/officeDocument/2006/relationships/hyperlink" Target="https://librodeclientes.com/layout.php?page=client&amp;id=228" TargetMode="External"/><Relationship Id="rId515" Type="http://schemas.openxmlformats.org/officeDocument/2006/relationships/hyperlink" Target="https://librodeclientes.com/layout.php?page=client&amp;id=437" TargetMode="External"/><Relationship Id="rId757" Type="http://schemas.openxmlformats.org/officeDocument/2006/relationships/hyperlink" Target="https://librodeclientes.com/layout.php?page=client&amp;id=229" TargetMode="External"/><Relationship Id="rId999" Type="http://schemas.openxmlformats.org/officeDocument/2006/relationships/hyperlink" Target="https://librodeclientes.com/layout.php?page=client&amp;id=128" TargetMode="External"/><Relationship Id="rId15" Type="http://schemas.openxmlformats.org/officeDocument/2006/relationships/hyperlink" Target="https://librodeclientes.com/layout.php?page=client&amp;id=617" TargetMode="External"/><Relationship Id="rId990" Type="http://schemas.openxmlformats.org/officeDocument/2006/relationships/hyperlink" Target="https://librodeclientes.com/layout.php?page=client&amp;id=129" TargetMode="External"/><Relationship Id="rId14" Type="http://schemas.openxmlformats.org/officeDocument/2006/relationships/hyperlink" Target="https://librodeclientes.com/layout.php?page=client&amp;id=218" TargetMode="External"/><Relationship Id="rId17" Type="http://schemas.openxmlformats.org/officeDocument/2006/relationships/hyperlink" Target="https://librodeclientes.com/layout.php?page=client&amp;id=615" TargetMode="External"/><Relationship Id="rId16" Type="http://schemas.openxmlformats.org/officeDocument/2006/relationships/hyperlink" Target="https://librodeclientes.com/layout.php?page=client&amp;id=605" TargetMode="External"/><Relationship Id="rId19" Type="http://schemas.openxmlformats.org/officeDocument/2006/relationships/hyperlink" Target="https://librodeclientes.com/layout.php?page=client&amp;id=613" TargetMode="External"/><Relationship Id="rId510" Type="http://schemas.openxmlformats.org/officeDocument/2006/relationships/hyperlink" Target="https://librodeclientes.com/layout.php?page=client&amp;id=441" TargetMode="External"/><Relationship Id="rId752" Type="http://schemas.openxmlformats.org/officeDocument/2006/relationships/hyperlink" Target="https://librodeclientes.com/layout.php?page=client&amp;id=196" TargetMode="External"/><Relationship Id="rId994" Type="http://schemas.openxmlformats.org/officeDocument/2006/relationships/hyperlink" Target="https://librodeclientes.com/layout.php?page=client&amp;id=129" TargetMode="External"/><Relationship Id="rId18" Type="http://schemas.openxmlformats.org/officeDocument/2006/relationships/hyperlink" Target="https://librodeclientes.com/layout.php?page=client&amp;id=614" TargetMode="External"/><Relationship Id="rId751" Type="http://schemas.openxmlformats.org/officeDocument/2006/relationships/hyperlink" Target="https://librodeclientes.com/layout.php?page=client&amp;id=196" TargetMode="External"/><Relationship Id="rId993" Type="http://schemas.openxmlformats.org/officeDocument/2006/relationships/hyperlink" Target="https://librodeclientes.com/layout.php?page=client&amp;id=129" TargetMode="External"/><Relationship Id="rId750" Type="http://schemas.openxmlformats.org/officeDocument/2006/relationships/hyperlink" Target="https://librodeclientes.com/layout.php?page=client&amp;id=196" TargetMode="External"/><Relationship Id="rId992" Type="http://schemas.openxmlformats.org/officeDocument/2006/relationships/hyperlink" Target="https://librodeclientes.com/layout.php?page=client&amp;id=129" TargetMode="External"/><Relationship Id="rId991" Type="http://schemas.openxmlformats.org/officeDocument/2006/relationships/hyperlink" Target="https://librodeclientes.com/layout.php?page=client&amp;id=129" TargetMode="External"/><Relationship Id="rId84" Type="http://schemas.openxmlformats.org/officeDocument/2006/relationships/hyperlink" Target="https://librodeclientes.com/layout.php?page=client&amp;id=549" TargetMode="External"/><Relationship Id="rId83" Type="http://schemas.openxmlformats.org/officeDocument/2006/relationships/hyperlink" Target="https://librodeclientes.com/layout.php?page=client&amp;id=549" TargetMode="External"/><Relationship Id="rId86" Type="http://schemas.openxmlformats.org/officeDocument/2006/relationships/hyperlink" Target="https://librodeclientes.com/layout.php?page=client&amp;id=572" TargetMode="External"/><Relationship Id="rId85" Type="http://schemas.openxmlformats.org/officeDocument/2006/relationships/hyperlink" Target="https://librodeclientes.com/layout.php?page=client&amp;id=572" TargetMode="External"/><Relationship Id="rId88" Type="http://schemas.openxmlformats.org/officeDocument/2006/relationships/hyperlink" Target="https://librodeclientes.com/layout.php?page=client&amp;id=572" TargetMode="External"/><Relationship Id="rId87" Type="http://schemas.openxmlformats.org/officeDocument/2006/relationships/hyperlink" Target="https://librodeclientes.com/layout.php?page=client&amp;id=572" TargetMode="External"/><Relationship Id="rId89" Type="http://schemas.openxmlformats.org/officeDocument/2006/relationships/hyperlink" Target="https://librodeclientes.com/layout.php?page=client&amp;id=589" TargetMode="External"/><Relationship Id="rId709" Type="http://schemas.openxmlformats.org/officeDocument/2006/relationships/hyperlink" Target="https://librodeclientes.com/layout.php?page=client&amp;id=367" TargetMode="External"/><Relationship Id="rId708" Type="http://schemas.openxmlformats.org/officeDocument/2006/relationships/hyperlink" Target="https://librodeclientes.com/layout.php?page=client&amp;id=165" TargetMode="External"/><Relationship Id="rId707" Type="http://schemas.openxmlformats.org/officeDocument/2006/relationships/hyperlink" Target="https://librodeclientes.com/layout.php?page=client&amp;id=165" TargetMode="External"/><Relationship Id="rId949" Type="http://schemas.openxmlformats.org/officeDocument/2006/relationships/hyperlink" Target="https://librodeclientes.com/layout.php?page=client&amp;id=132" TargetMode="External"/><Relationship Id="rId706" Type="http://schemas.openxmlformats.org/officeDocument/2006/relationships/hyperlink" Target="https://librodeclientes.com/layout.php?page=client&amp;id=175" TargetMode="External"/><Relationship Id="rId948" Type="http://schemas.openxmlformats.org/officeDocument/2006/relationships/hyperlink" Target="https://librodeclientes.com/layout.php?page=client&amp;id=132" TargetMode="External"/><Relationship Id="rId80" Type="http://schemas.openxmlformats.org/officeDocument/2006/relationships/hyperlink" Target="https://librodeclientes.com/layout.php?page=client&amp;id=594" TargetMode="External"/><Relationship Id="rId82" Type="http://schemas.openxmlformats.org/officeDocument/2006/relationships/hyperlink" Target="https://librodeclientes.com/layout.php?page=client&amp;id=223" TargetMode="External"/><Relationship Id="rId81" Type="http://schemas.openxmlformats.org/officeDocument/2006/relationships/hyperlink" Target="https://librodeclientes.com/layout.php?page=client&amp;id=223" TargetMode="External"/><Relationship Id="rId701" Type="http://schemas.openxmlformats.org/officeDocument/2006/relationships/hyperlink" Target="https://librodeclientes.com/layout.php?page=client&amp;id=163" TargetMode="External"/><Relationship Id="rId943" Type="http://schemas.openxmlformats.org/officeDocument/2006/relationships/hyperlink" Target="https://librodeclientes.com/layout.php?page=client&amp;id=152" TargetMode="External"/><Relationship Id="rId700" Type="http://schemas.openxmlformats.org/officeDocument/2006/relationships/hyperlink" Target="https://librodeclientes.com/layout.php?page=client&amp;id=373" TargetMode="External"/><Relationship Id="rId942" Type="http://schemas.openxmlformats.org/officeDocument/2006/relationships/hyperlink" Target="https://librodeclientes.com/layout.php?page=client&amp;id=152" TargetMode="External"/><Relationship Id="rId941" Type="http://schemas.openxmlformats.org/officeDocument/2006/relationships/hyperlink" Target="https://librodeclientes.com/layout.php?page=client&amp;id=128" TargetMode="External"/><Relationship Id="rId940" Type="http://schemas.openxmlformats.org/officeDocument/2006/relationships/hyperlink" Target="https://librodeclientes.com/layout.php?page=client&amp;id=128" TargetMode="External"/><Relationship Id="rId705" Type="http://schemas.openxmlformats.org/officeDocument/2006/relationships/hyperlink" Target="https://librodeclientes.com/layout.php?page=client&amp;id=371" TargetMode="External"/><Relationship Id="rId947" Type="http://schemas.openxmlformats.org/officeDocument/2006/relationships/hyperlink" Target="https://librodeclientes.com/layout.php?page=client&amp;id=148" TargetMode="External"/><Relationship Id="rId704" Type="http://schemas.openxmlformats.org/officeDocument/2006/relationships/hyperlink" Target="https://librodeclientes.com/layout.php?page=client&amp;id=372" TargetMode="External"/><Relationship Id="rId946" Type="http://schemas.openxmlformats.org/officeDocument/2006/relationships/hyperlink" Target="https://librodeclientes.com/layout.php?page=client&amp;id=148" TargetMode="External"/><Relationship Id="rId703" Type="http://schemas.openxmlformats.org/officeDocument/2006/relationships/hyperlink" Target="https://librodeclientes.com/layout.php?page=client&amp;id=372" TargetMode="External"/><Relationship Id="rId945" Type="http://schemas.openxmlformats.org/officeDocument/2006/relationships/hyperlink" Target="https://librodeclientes.com/layout.php?page=client&amp;id=141" TargetMode="External"/><Relationship Id="rId702" Type="http://schemas.openxmlformats.org/officeDocument/2006/relationships/hyperlink" Target="https://librodeclientes.com/layout.php?page=client&amp;id=372" TargetMode="External"/><Relationship Id="rId944" Type="http://schemas.openxmlformats.org/officeDocument/2006/relationships/hyperlink" Target="https://librodeclientes.com/layout.php?page=client&amp;id=153" TargetMode="External"/><Relationship Id="rId73" Type="http://schemas.openxmlformats.org/officeDocument/2006/relationships/hyperlink" Target="https://librodeclientes.com/layout.php?page=client&amp;id=179" TargetMode="External"/><Relationship Id="rId72" Type="http://schemas.openxmlformats.org/officeDocument/2006/relationships/hyperlink" Target="https://librodeclientes.com/layout.php?page=client&amp;id=179" TargetMode="External"/><Relationship Id="rId75" Type="http://schemas.openxmlformats.org/officeDocument/2006/relationships/hyperlink" Target="https://librodeclientes.com/layout.php?page=client&amp;id=223" TargetMode="External"/><Relationship Id="rId74" Type="http://schemas.openxmlformats.org/officeDocument/2006/relationships/hyperlink" Target="https://librodeclientes.com/layout.php?page=client&amp;id=179" TargetMode="External"/><Relationship Id="rId77" Type="http://schemas.openxmlformats.org/officeDocument/2006/relationships/hyperlink" Target="https://librodeclientes.com/layout.php?page=client&amp;id=594" TargetMode="External"/><Relationship Id="rId76" Type="http://schemas.openxmlformats.org/officeDocument/2006/relationships/hyperlink" Target="https://librodeclientes.com/layout.php?page=client&amp;id=594" TargetMode="External"/><Relationship Id="rId79" Type="http://schemas.openxmlformats.org/officeDocument/2006/relationships/hyperlink" Target="https://librodeclientes.com/layout.php?page=client&amp;id=594" TargetMode="External"/><Relationship Id="rId78" Type="http://schemas.openxmlformats.org/officeDocument/2006/relationships/hyperlink" Target="https://librodeclientes.com/layout.php?page=client&amp;id=584" TargetMode="External"/><Relationship Id="rId939" Type="http://schemas.openxmlformats.org/officeDocument/2006/relationships/hyperlink" Target="https://librodeclientes.com/layout.php?page=client&amp;id=150" TargetMode="External"/><Relationship Id="rId938" Type="http://schemas.openxmlformats.org/officeDocument/2006/relationships/hyperlink" Target="https://librodeclientes.com/layout.php?page=client&amp;id=150" TargetMode="External"/><Relationship Id="rId937" Type="http://schemas.openxmlformats.org/officeDocument/2006/relationships/hyperlink" Target="https://librodeclientes.com/layout.php?page=client&amp;id=155" TargetMode="External"/><Relationship Id="rId71" Type="http://schemas.openxmlformats.org/officeDocument/2006/relationships/hyperlink" Target="https://librodeclientes.com/layout.php?page=client&amp;id=584" TargetMode="External"/><Relationship Id="rId70" Type="http://schemas.openxmlformats.org/officeDocument/2006/relationships/hyperlink" Target="https://librodeclientes.com/layout.php?page=client&amp;id=584" TargetMode="External"/><Relationship Id="rId932" Type="http://schemas.openxmlformats.org/officeDocument/2006/relationships/hyperlink" Target="https://librodeclientes.com/layout.php?page=client&amp;id=81" TargetMode="External"/><Relationship Id="rId931" Type="http://schemas.openxmlformats.org/officeDocument/2006/relationships/hyperlink" Target="https://librodeclientes.com/layout.php?page=client&amp;id=81" TargetMode="External"/><Relationship Id="rId930" Type="http://schemas.openxmlformats.org/officeDocument/2006/relationships/hyperlink" Target="https://librodeclientes.com/layout.php?page=client&amp;id=151" TargetMode="External"/><Relationship Id="rId936" Type="http://schemas.openxmlformats.org/officeDocument/2006/relationships/hyperlink" Target="https://librodeclientes.com/layout.php?page=client&amp;id=156" TargetMode="External"/><Relationship Id="rId935" Type="http://schemas.openxmlformats.org/officeDocument/2006/relationships/hyperlink" Target="https://librodeclientes.com/layout.php?page=client&amp;id=157" TargetMode="External"/><Relationship Id="rId934" Type="http://schemas.openxmlformats.org/officeDocument/2006/relationships/hyperlink" Target="https://librodeclientes.com/layout.php?page=client&amp;id=81" TargetMode="External"/><Relationship Id="rId933" Type="http://schemas.openxmlformats.org/officeDocument/2006/relationships/hyperlink" Target="https://librodeclientes.com/layout.php?page=client&amp;id=81" TargetMode="External"/><Relationship Id="rId62" Type="http://schemas.openxmlformats.org/officeDocument/2006/relationships/hyperlink" Target="https://librodeclientes.com/layout.php?page=client&amp;id=597" TargetMode="External"/><Relationship Id="rId61" Type="http://schemas.openxmlformats.org/officeDocument/2006/relationships/hyperlink" Target="https://librodeclientes.com/layout.php?page=client&amp;id=597" TargetMode="External"/><Relationship Id="rId64" Type="http://schemas.openxmlformats.org/officeDocument/2006/relationships/hyperlink" Target="https://librodeclientes.com/layout.php?page=client&amp;id=597" TargetMode="External"/><Relationship Id="rId63" Type="http://schemas.openxmlformats.org/officeDocument/2006/relationships/hyperlink" Target="https://librodeclientes.com/layout.php?page=client&amp;id=597" TargetMode="External"/><Relationship Id="rId66" Type="http://schemas.openxmlformats.org/officeDocument/2006/relationships/hyperlink" Target="https://librodeclientes.com/layout.php?page=client&amp;id=596" TargetMode="External"/><Relationship Id="rId65" Type="http://schemas.openxmlformats.org/officeDocument/2006/relationships/hyperlink" Target="https://librodeclientes.com/layout.php?page=client&amp;id=595" TargetMode="External"/><Relationship Id="rId68" Type="http://schemas.openxmlformats.org/officeDocument/2006/relationships/hyperlink" Target="https://librodeclientes.com/layout.php?page=client&amp;id=584" TargetMode="External"/><Relationship Id="rId67" Type="http://schemas.openxmlformats.org/officeDocument/2006/relationships/hyperlink" Target="https://librodeclientes.com/layout.php?page=client&amp;id=595" TargetMode="External"/><Relationship Id="rId729" Type="http://schemas.openxmlformats.org/officeDocument/2006/relationships/hyperlink" Target="https://librodeclientes.com/layout.php?page=client&amp;id=171" TargetMode="External"/><Relationship Id="rId728" Type="http://schemas.openxmlformats.org/officeDocument/2006/relationships/hyperlink" Target="https://librodeclientes.com/layout.php?page=client&amp;id=174" TargetMode="External"/><Relationship Id="rId60" Type="http://schemas.openxmlformats.org/officeDocument/2006/relationships/hyperlink" Target="https://librodeclientes.com/layout.php?page=client&amp;id=598" TargetMode="External"/><Relationship Id="rId723" Type="http://schemas.openxmlformats.org/officeDocument/2006/relationships/hyperlink" Target="https://librodeclientes.com/layout.php?page=client&amp;id=183" TargetMode="External"/><Relationship Id="rId965" Type="http://schemas.openxmlformats.org/officeDocument/2006/relationships/hyperlink" Target="https://librodeclientes.com/layout.php?page=client&amp;id=137" TargetMode="External"/><Relationship Id="rId722" Type="http://schemas.openxmlformats.org/officeDocument/2006/relationships/hyperlink" Target="https://librodeclientes.com/layout.php?page=client&amp;id=363" TargetMode="External"/><Relationship Id="rId964" Type="http://schemas.openxmlformats.org/officeDocument/2006/relationships/hyperlink" Target="https://librodeclientes.com/layout.php?page=client&amp;id=138" TargetMode="External"/><Relationship Id="rId721" Type="http://schemas.openxmlformats.org/officeDocument/2006/relationships/hyperlink" Target="https://librodeclientes.com/layout.php?page=client&amp;id=227" TargetMode="External"/><Relationship Id="rId963" Type="http://schemas.openxmlformats.org/officeDocument/2006/relationships/hyperlink" Target="https://librodeclientes.com/layout.php?page=client&amp;id=139" TargetMode="External"/><Relationship Id="rId720" Type="http://schemas.openxmlformats.org/officeDocument/2006/relationships/hyperlink" Target="https://librodeclientes.com/layout.php?page=client&amp;id=227" TargetMode="External"/><Relationship Id="rId962" Type="http://schemas.openxmlformats.org/officeDocument/2006/relationships/hyperlink" Target="https://librodeclientes.com/layout.php?page=client&amp;id=119" TargetMode="External"/><Relationship Id="rId727" Type="http://schemas.openxmlformats.org/officeDocument/2006/relationships/hyperlink" Target="https://librodeclientes.com/layout.php?page=client&amp;id=361" TargetMode="External"/><Relationship Id="rId969" Type="http://schemas.openxmlformats.org/officeDocument/2006/relationships/hyperlink" Target="https://librodeclientes.com/layout.php?page=client&amp;id=135" TargetMode="External"/><Relationship Id="rId726" Type="http://schemas.openxmlformats.org/officeDocument/2006/relationships/hyperlink" Target="https://librodeclientes.com/layout.php?page=client&amp;id=112" TargetMode="External"/><Relationship Id="rId968" Type="http://schemas.openxmlformats.org/officeDocument/2006/relationships/hyperlink" Target="https://librodeclientes.com/layout.php?page=client&amp;id=136" TargetMode="External"/><Relationship Id="rId725" Type="http://schemas.openxmlformats.org/officeDocument/2006/relationships/hyperlink" Target="https://librodeclientes.com/layout.php?page=client&amp;id=362" TargetMode="External"/><Relationship Id="rId967" Type="http://schemas.openxmlformats.org/officeDocument/2006/relationships/hyperlink" Target="https://librodeclientes.com/layout.php?page=client&amp;id=136" TargetMode="External"/><Relationship Id="rId724" Type="http://schemas.openxmlformats.org/officeDocument/2006/relationships/hyperlink" Target="https://librodeclientes.com/layout.php?page=client&amp;id=362" TargetMode="External"/><Relationship Id="rId966" Type="http://schemas.openxmlformats.org/officeDocument/2006/relationships/hyperlink" Target="https://librodeclientes.com/layout.php?page=client&amp;id=137" TargetMode="External"/><Relationship Id="rId69" Type="http://schemas.openxmlformats.org/officeDocument/2006/relationships/hyperlink" Target="https://librodeclientes.com/layout.php?page=client&amp;id=584" TargetMode="External"/><Relationship Id="rId961" Type="http://schemas.openxmlformats.org/officeDocument/2006/relationships/hyperlink" Target="https://librodeclientes.com/layout.php?page=client&amp;id=140" TargetMode="External"/><Relationship Id="rId960" Type="http://schemas.openxmlformats.org/officeDocument/2006/relationships/hyperlink" Target="https://librodeclientes.com/layout.php?page=client&amp;id=100" TargetMode="External"/><Relationship Id="rId51" Type="http://schemas.openxmlformats.org/officeDocument/2006/relationships/hyperlink" Target="https://librodeclientes.com/layout.php?page=client&amp;id=227" TargetMode="External"/><Relationship Id="rId50" Type="http://schemas.openxmlformats.org/officeDocument/2006/relationships/hyperlink" Target="https://librodeclientes.com/layout.php?page=client&amp;id=601" TargetMode="External"/><Relationship Id="rId53" Type="http://schemas.openxmlformats.org/officeDocument/2006/relationships/hyperlink" Target="https://librodeclientes.com/layout.php?page=client&amp;id=361" TargetMode="External"/><Relationship Id="rId52" Type="http://schemas.openxmlformats.org/officeDocument/2006/relationships/hyperlink" Target="https://librodeclientes.com/layout.php?page=client&amp;id=227" TargetMode="External"/><Relationship Id="rId55" Type="http://schemas.openxmlformats.org/officeDocument/2006/relationships/hyperlink" Target="https://librodeclientes.com/layout.php?page=client&amp;id=601" TargetMode="External"/><Relationship Id="rId54" Type="http://schemas.openxmlformats.org/officeDocument/2006/relationships/hyperlink" Target="https://librodeclientes.com/layout.php?page=client&amp;id=361" TargetMode="External"/><Relationship Id="rId57" Type="http://schemas.openxmlformats.org/officeDocument/2006/relationships/hyperlink" Target="https://librodeclientes.com/layout.php?page=client&amp;id=587" TargetMode="External"/><Relationship Id="rId56" Type="http://schemas.openxmlformats.org/officeDocument/2006/relationships/hyperlink" Target="https://librodeclientes.com/layout.php?page=client&amp;id=600" TargetMode="External"/><Relationship Id="rId719" Type="http://schemas.openxmlformats.org/officeDocument/2006/relationships/hyperlink" Target="https://librodeclientes.com/layout.php?page=client&amp;id=364" TargetMode="External"/><Relationship Id="rId718" Type="http://schemas.openxmlformats.org/officeDocument/2006/relationships/hyperlink" Target="https://librodeclientes.com/layout.php?page=client&amp;id=365" TargetMode="External"/><Relationship Id="rId717" Type="http://schemas.openxmlformats.org/officeDocument/2006/relationships/hyperlink" Target="https://librodeclientes.com/layout.php?page=client&amp;id=365" TargetMode="External"/><Relationship Id="rId959" Type="http://schemas.openxmlformats.org/officeDocument/2006/relationships/hyperlink" Target="https://librodeclientes.com/layout.php?page=client&amp;id=141" TargetMode="External"/><Relationship Id="rId712" Type="http://schemas.openxmlformats.org/officeDocument/2006/relationships/hyperlink" Target="https://librodeclientes.com/layout.php?page=client&amp;id=333" TargetMode="External"/><Relationship Id="rId954" Type="http://schemas.openxmlformats.org/officeDocument/2006/relationships/hyperlink" Target="https://librodeclientes.com/layout.php?page=client&amp;id=144" TargetMode="External"/><Relationship Id="rId711" Type="http://schemas.openxmlformats.org/officeDocument/2006/relationships/hyperlink" Target="https://librodeclientes.com/layout.php?page=client&amp;id=367" TargetMode="External"/><Relationship Id="rId953" Type="http://schemas.openxmlformats.org/officeDocument/2006/relationships/hyperlink" Target="https://librodeclientes.com/layout.php?page=client&amp;id=145" TargetMode="External"/><Relationship Id="rId710" Type="http://schemas.openxmlformats.org/officeDocument/2006/relationships/hyperlink" Target="https://librodeclientes.com/layout.php?page=client&amp;id=367" TargetMode="External"/><Relationship Id="rId952" Type="http://schemas.openxmlformats.org/officeDocument/2006/relationships/hyperlink" Target="https://librodeclientes.com/layout.php?page=client&amp;id=146" TargetMode="External"/><Relationship Id="rId951" Type="http://schemas.openxmlformats.org/officeDocument/2006/relationships/hyperlink" Target="https://librodeclientes.com/layout.php?page=client&amp;id=147" TargetMode="External"/><Relationship Id="rId716" Type="http://schemas.openxmlformats.org/officeDocument/2006/relationships/hyperlink" Target="https://librodeclientes.com/layout.php?page=client&amp;id=192" TargetMode="External"/><Relationship Id="rId958" Type="http://schemas.openxmlformats.org/officeDocument/2006/relationships/hyperlink" Target="https://librodeclientes.com/layout.php?page=client&amp;id=142" TargetMode="External"/><Relationship Id="rId715" Type="http://schemas.openxmlformats.org/officeDocument/2006/relationships/hyperlink" Target="https://librodeclientes.com/layout.php?page=client&amp;id=360" TargetMode="External"/><Relationship Id="rId957" Type="http://schemas.openxmlformats.org/officeDocument/2006/relationships/hyperlink" Target="https://librodeclientes.com/layout.php?page=client&amp;id=96" TargetMode="External"/><Relationship Id="rId714" Type="http://schemas.openxmlformats.org/officeDocument/2006/relationships/hyperlink" Target="https://librodeclientes.com/layout.php?page=client&amp;id=370" TargetMode="External"/><Relationship Id="rId956" Type="http://schemas.openxmlformats.org/officeDocument/2006/relationships/hyperlink" Target="https://librodeclientes.com/layout.php?page=client&amp;id=96" TargetMode="External"/><Relationship Id="rId713" Type="http://schemas.openxmlformats.org/officeDocument/2006/relationships/hyperlink" Target="https://librodeclientes.com/layout.php?page=client&amp;id=370" TargetMode="External"/><Relationship Id="rId955" Type="http://schemas.openxmlformats.org/officeDocument/2006/relationships/hyperlink" Target="https://librodeclientes.com/layout.php?page=client&amp;id=143" TargetMode="External"/><Relationship Id="rId59" Type="http://schemas.openxmlformats.org/officeDocument/2006/relationships/hyperlink" Target="https://librodeclientes.com/layout.php?page=client&amp;id=599" TargetMode="External"/><Relationship Id="rId58" Type="http://schemas.openxmlformats.org/officeDocument/2006/relationships/hyperlink" Target="https://librodeclientes.com/layout.php?page=client&amp;id=587" TargetMode="External"/><Relationship Id="rId950" Type="http://schemas.openxmlformats.org/officeDocument/2006/relationships/hyperlink" Target="https://librodeclientes.com/layout.php?page=client&amp;id=132" TargetMode="External"/><Relationship Id="rId590" Type="http://schemas.openxmlformats.org/officeDocument/2006/relationships/hyperlink" Target="https://librodeclientes.com/layout.php?page=client&amp;id=403" TargetMode="External"/><Relationship Id="rId107" Type="http://schemas.openxmlformats.org/officeDocument/2006/relationships/hyperlink" Target="https://librodeclientes.com/layout.php?page=client&amp;id=498" TargetMode="External"/><Relationship Id="rId349" Type="http://schemas.openxmlformats.org/officeDocument/2006/relationships/hyperlink" Target="https://librodeclientes.com/layout.php?page=client&amp;id=508" TargetMode="External"/><Relationship Id="rId106" Type="http://schemas.openxmlformats.org/officeDocument/2006/relationships/hyperlink" Target="https://librodeclientes.com/layout.php?page=client&amp;id=404" TargetMode="External"/><Relationship Id="rId348" Type="http://schemas.openxmlformats.org/officeDocument/2006/relationships/hyperlink" Target="https://librodeclientes.com/layout.php?page=client&amp;id=481" TargetMode="External"/><Relationship Id="rId105" Type="http://schemas.openxmlformats.org/officeDocument/2006/relationships/hyperlink" Target="https://librodeclientes.com/layout.php?page=client&amp;id=584" TargetMode="External"/><Relationship Id="rId347" Type="http://schemas.openxmlformats.org/officeDocument/2006/relationships/hyperlink" Target="https://librodeclientes.com/layout.php?page=client&amp;id=481" TargetMode="External"/><Relationship Id="rId589" Type="http://schemas.openxmlformats.org/officeDocument/2006/relationships/hyperlink" Target="https://librodeclientes.com/layout.php?page=client&amp;id=406" TargetMode="External"/><Relationship Id="rId104" Type="http://schemas.openxmlformats.org/officeDocument/2006/relationships/hyperlink" Target="https://librodeclientes.com/layout.php?page=client&amp;id=420" TargetMode="External"/><Relationship Id="rId346" Type="http://schemas.openxmlformats.org/officeDocument/2006/relationships/hyperlink" Target="https://librodeclientes.com/layout.php?page=client&amp;id=509" TargetMode="External"/><Relationship Id="rId588" Type="http://schemas.openxmlformats.org/officeDocument/2006/relationships/hyperlink" Target="https://librodeclientes.com/layout.php?page=client&amp;id=405" TargetMode="External"/><Relationship Id="rId109" Type="http://schemas.openxmlformats.org/officeDocument/2006/relationships/hyperlink" Target="https://librodeclientes.com/layout.php?page=client&amp;id=498" TargetMode="External"/><Relationship Id="rId108" Type="http://schemas.openxmlformats.org/officeDocument/2006/relationships/hyperlink" Target="https://librodeclientes.com/layout.php?page=client&amp;id=498" TargetMode="External"/><Relationship Id="rId341" Type="http://schemas.openxmlformats.org/officeDocument/2006/relationships/hyperlink" Target="https://librodeclientes.com/layout.php?page=client&amp;id=509" TargetMode="External"/><Relationship Id="rId583" Type="http://schemas.openxmlformats.org/officeDocument/2006/relationships/hyperlink" Target="https://librodeclientes.com/layout.php?page=client&amp;id=413" TargetMode="External"/><Relationship Id="rId340" Type="http://schemas.openxmlformats.org/officeDocument/2006/relationships/hyperlink" Target="https://librodeclientes.com/layout.php?page=client&amp;id=509" TargetMode="External"/><Relationship Id="rId582" Type="http://schemas.openxmlformats.org/officeDocument/2006/relationships/hyperlink" Target="https://librodeclientes.com/layout.php?page=client&amp;id=386" TargetMode="External"/><Relationship Id="rId581" Type="http://schemas.openxmlformats.org/officeDocument/2006/relationships/hyperlink" Target="https://librodeclientes.com/layout.php?page=client&amp;id=390" TargetMode="External"/><Relationship Id="rId580" Type="http://schemas.openxmlformats.org/officeDocument/2006/relationships/hyperlink" Target="https://librodeclientes.com/layout.php?page=client&amp;id=414" TargetMode="External"/><Relationship Id="rId103" Type="http://schemas.openxmlformats.org/officeDocument/2006/relationships/hyperlink" Target="https://librodeclientes.com/layout.php?page=client&amp;id=583" TargetMode="External"/><Relationship Id="rId345" Type="http://schemas.openxmlformats.org/officeDocument/2006/relationships/hyperlink" Target="https://librodeclientes.com/layout.php?page=client&amp;id=509" TargetMode="External"/><Relationship Id="rId587" Type="http://schemas.openxmlformats.org/officeDocument/2006/relationships/hyperlink" Target="https://librodeclientes.com/layout.php?page=client&amp;id=405" TargetMode="External"/><Relationship Id="rId102" Type="http://schemas.openxmlformats.org/officeDocument/2006/relationships/hyperlink" Target="https://librodeclientes.com/layout.php?page=client&amp;id=380" TargetMode="External"/><Relationship Id="rId344" Type="http://schemas.openxmlformats.org/officeDocument/2006/relationships/hyperlink" Target="https://librodeclientes.com/layout.php?page=client&amp;id=509" TargetMode="External"/><Relationship Id="rId586" Type="http://schemas.openxmlformats.org/officeDocument/2006/relationships/hyperlink" Target="https://librodeclientes.com/layout.php?page=client&amp;id=253" TargetMode="External"/><Relationship Id="rId101" Type="http://schemas.openxmlformats.org/officeDocument/2006/relationships/hyperlink" Target="https://librodeclientes.com/layout.php?page=client&amp;id=581" TargetMode="External"/><Relationship Id="rId343" Type="http://schemas.openxmlformats.org/officeDocument/2006/relationships/hyperlink" Target="https://librodeclientes.com/layout.php?page=client&amp;id=509" TargetMode="External"/><Relationship Id="rId585" Type="http://schemas.openxmlformats.org/officeDocument/2006/relationships/hyperlink" Target="https://librodeclientes.com/layout.php?page=client&amp;id=411" TargetMode="External"/><Relationship Id="rId100" Type="http://schemas.openxmlformats.org/officeDocument/2006/relationships/hyperlink" Target="https://librodeclientes.com/layout.php?page=client&amp;id=580" TargetMode="External"/><Relationship Id="rId342" Type="http://schemas.openxmlformats.org/officeDocument/2006/relationships/hyperlink" Target="https://librodeclientes.com/layout.php?page=client&amp;id=509" TargetMode="External"/><Relationship Id="rId584" Type="http://schemas.openxmlformats.org/officeDocument/2006/relationships/hyperlink" Target="https://librodeclientes.com/layout.php?page=client&amp;id=412" TargetMode="External"/><Relationship Id="rId338" Type="http://schemas.openxmlformats.org/officeDocument/2006/relationships/hyperlink" Target="https://librodeclientes.com/layout.php?page=client&amp;id=510" TargetMode="External"/><Relationship Id="rId337" Type="http://schemas.openxmlformats.org/officeDocument/2006/relationships/hyperlink" Target="https://librodeclientes.com/layout.php?page=client&amp;id=510" TargetMode="External"/><Relationship Id="rId579" Type="http://schemas.openxmlformats.org/officeDocument/2006/relationships/hyperlink" Target="https://librodeclientes.com/layout.php?page=client&amp;id=204" TargetMode="External"/><Relationship Id="rId336" Type="http://schemas.openxmlformats.org/officeDocument/2006/relationships/hyperlink" Target="https://librodeclientes.com/layout.php?page=client&amp;id=510" TargetMode="External"/><Relationship Id="rId578" Type="http://schemas.openxmlformats.org/officeDocument/2006/relationships/hyperlink" Target="https://librodeclientes.com/layout.php?page=client&amp;id=204" TargetMode="External"/><Relationship Id="rId335" Type="http://schemas.openxmlformats.org/officeDocument/2006/relationships/hyperlink" Target="https://librodeclientes.com/layout.php?page=client&amp;id=510" TargetMode="External"/><Relationship Id="rId577" Type="http://schemas.openxmlformats.org/officeDocument/2006/relationships/hyperlink" Target="https://librodeclientes.com/layout.php?page=client&amp;id=417" TargetMode="External"/><Relationship Id="rId339" Type="http://schemas.openxmlformats.org/officeDocument/2006/relationships/hyperlink" Target="https://librodeclientes.com/layout.php?page=client&amp;id=510" TargetMode="External"/><Relationship Id="rId330" Type="http://schemas.openxmlformats.org/officeDocument/2006/relationships/hyperlink" Target="https://librodeclientes.com/layout.php?page=client&amp;id=511" TargetMode="External"/><Relationship Id="rId572" Type="http://schemas.openxmlformats.org/officeDocument/2006/relationships/hyperlink" Target="https://librodeclientes.com/layout.php?page=client&amp;id=418" TargetMode="External"/><Relationship Id="rId571" Type="http://schemas.openxmlformats.org/officeDocument/2006/relationships/hyperlink" Target="https://librodeclientes.com/layout.php?page=client&amp;id=140" TargetMode="External"/><Relationship Id="rId570" Type="http://schemas.openxmlformats.org/officeDocument/2006/relationships/hyperlink" Target="https://librodeclientes.com/layout.php?page=client&amp;id=140" TargetMode="External"/><Relationship Id="rId334" Type="http://schemas.openxmlformats.org/officeDocument/2006/relationships/hyperlink" Target="https://librodeclientes.com/layout.php?page=client&amp;id=510" TargetMode="External"/><Relationship Id="rId576" Type="http://schemas.openxmlformats.org/officeDocument/2006/relationships/hyperlink" Target="https://librodeclientes.com/layout.php?page=client&amp;id=161" TargetMode="External"/><Relationship Id="rId333" Type="http://schemas.openxmlformats.org/officeDocument/2006/relationships/hyperlink" Target="https://librodeclientes.com/layout.php?page=client&amp;id=510" TargetMode="External"/><Relationship Id="rId575" Type="http://schemas.openxmlformats.org/officeDocument/2006/relationships/hyperlink" Target="https://librodeclientes.com/layout.php?page=client&amp;id=418" TargetMode="External"/><Relationship Id="rId332" Type="http://schemas.openxmlformats.org/officeDocument/2006/relationships/hyperlink" Target="https://librodeclientes.com/layout.php?page=client&amp;id=511" TargetMode="External"/><Relationship Id="rId574" Type="http://schemas.openxmlformats.org/officeDocument/2006/relationships/hyperlink" Target="https://librodeclientes.com/layout.php?page=client&amp;id=418" TargetMode="External"/><Relationship Id="rId331" Type="http://schemas.openxmlformats.org/officeDocument/2006/relationships/hyperlink" Target="https://librodeclientes.com/layout.php?page=client&amp;id=511" TargetMode="External"/><Relationship Id="rId573" Type="http://schemas.openxmlformats.org/officeDocument/2006/relationships/hyperlink" Target="https://librodeclientes.com/layout.php?page=client&amp;id=418" TargetMode="External"/><Relationship Id="rId370" Type="http://schemas.openxmlformats.org/officeDocument/2006/relationships/hyperlink" Target="https://librodeclientes.com/layout.php?page=client&amp;id=501" TargetMode="External"/><Relationship Id="rId129" Type="http://schemas.openxmlformats.org/officeDocument/2006/relationships/hyperlink" Target="https://librodeclientes.com/layout.php?page=client&amp;id=573" TargetMode="External"/><Relationship Id="rId128" Type="http://schemas.openxmlformats.org/officeDocument/2006/relationships/hyperlink" Target="https://librodeclientes.com/layout.php?page=client&amp;id=574" TargetMode="External"/><Relationship Id="rId127" Type="http://schemas.openxmlformats.org/officeDocument/2006/relationships/hyperlink" Target="https://librodeclientes.com/layout.php?page=client&amp;id=577" TargetMode="External"/><Relationship Id="rId369" Type="http://schemas.openxmlformats.org/officeDocument/2006/relationships/hyperlink" Target="https://librodeclientes.com/layout.php?page=client&amp;id=501" TargetMode="External"/><Relationship Id="rId126" Type="http://schemas.openxmlformats.org/officeDocument/2006/relationships/hyperlink" Target="https://librodeclientes.com/layout.php?page=client&amp;id=170" TargetMode="External"/><Relationship Id="rId368" Type="http://schemas.openxmlformats.org/officeDocument/2006/relationships/hyperlink" Target="https://librodeclientes.com/layout.php?page=client&amp;id=501" TargetMode="External"/><Relationship Id="rId121" Type="http://schemas.openxmlformats.org/officeDocument/2006/relationships/hyperlink" Target="https://librodeclientes.com/layout.php?page=client&amp;id=545" TargetMode="External"/><Relationship Id="rId363" Type="http://schemas.openxmlformats.org/officeDocument/2006/relationships/hyperlink" Target="https://librodeclientes.com/layout.php?page=client&amp;id=502" TargetMode="External"/><Relationship Id="rId120" Type="http://schemas.openxmlformats.org/officeDocument/2006/relationships/hyperlink" Target="https://librodeclientes.com/layout.php?page=client&amp;id=559" TargetMode="External"/><Relationship Id="rId362" Type="http://schemas.openxmlformats.org/officeDocument/2006/relationships/hyperlink" Target="https://librodeclientes.com/layout.php?page=client&amp;id=502" TargetMode="External"/><Relationship Id="rId361" Type="http://schemas.openxmlformats.org/officeDocument/2006/relationships/hyperlink" Target="https://librodeclientes.com/layout.php?page=client&amp;id=502" TargetMode="External"/><Relationship Id="rId360" Type="http://schemas.openxmlformats.org/officeDocument/2006/relationships/hyperlink" Target="https://librodeclientes.com/layout.php?page=client&amp;id=502" TargetMode="External"/><Relationship Id="rId125" Type="http://schemas.openxmlformats.org/officeDocument/2006/relationships/hyperlink" Target="https://librodeclientes.com/layout.php?page=client&amp;id=170" TargetMode="External"/><Relationship Id="rId367" Type="http://schemas.openxmlformats.org/officeDocument/2006/relationships/hyperlink" Target="https://librodeclientes.com/layout.php?page=client&amp;id=501" TargetMode="External"/><Relationship Id="rId124" Type="http://schemas.openxmlformats.org/officeDocument/2006/relationships/hyperlink" Target="https://librodeclientes.com/layout.php?page=client&amp;id=364" TargetMode="External"/><Relationship Id="rId366" Type="http://schemas.openxmlformats.org/officeDocument/2006/relationships/hyperlink" Target="https://librodeclientes.com/layout.php?page=client&amp;id=501" TargetMode="External"/><Relationship Id="rId123" Type="http://schemas.openxmlformats.org/officeDocument/2006/relationships/hyperlink" Target="https://librodeclientes.com/layout.php?page=client&amp;id=364" TargetMode="External"/><Relationship Id="rId365" Type="http://schemas.openxmlformats.org/officeDocument/2006/relationships/hyperlink" Target="https://librodeclientes.com/layout.php?page=client&amp;id=501" TargetMode="External"/><Relationship Id="rId122" Type="http://schemas.openxmlformats.org/officeDocument/2006/relationships/hyperlink" Target="https://librodeclientes.com/layout.php?page=client&amp;id=546" TargetMode="External"/><Relationship Id="rId364" Type="http://schemas.openxmlformats.org/officeDocument/2006/relationships/hyperlink" Target="https://librodeclientes.com/layout.php?page=client&amp;id=501" TargetMode="External"/><Relationship Id="rId95" Type="http://schemas.openxmlformats.org/officeDocument/2006/relationships/hyperlink" Target="https://librodeclientes.com/layout.php?page=client&amp;id=593" TargetMode="External"/><Relationship Id="rId94" Type="http://schemas.openxmlformats.org/officeDocument/2006/relationships/hyperlink" Target="https://librodeclientes.com/layout.php?page=client&amp;id=592" TargetMode="External"/><Relationship Id="rId97" Type="http://schemas.openxmlformats.org/officeDocument/2006/relationships/hyperlink" Target="https://librodeclientes.com/layout.php?page=client&amp;id=586" TargetMode="External"/><Relationship Id="rId96" Type="http://schemas.openxmlformats.org/officeDocument/2006/relationships/hyperlink" Target="https://librodeclientes.com/layout.php?page=client&amp;id=587" TargetMode="External"/><Relationship Id="rId99" Type="http://schemas.openxmlformats.org/officeDocument/2006/relationships/hyperlink" Target="https://librodeclientes.com/layout.php?page=client&amp;id=141" TargetMode="External"/><Relationship Id="rId98" Type="http://schemas.openxmlformats.org/officeDocument/2006/relationships/hyperlink" Target="https://librodeclientes.com/layout.php?page=client&amp;id=141" TargetMode="External"/><Relationship Id="rId91" Type="http://schemas.openxmlformats.org/officeDocument/2006/relationships/hyperlink" Target="https://librodeclientes.com/layout.php?page=client&amp;id=591" TargetMode="External"/><Relationship Id="rId90" Type="http://schemas.openxmlformats.org/officeDocument/2006/relationships/hyperlink" Target="https://librodeclientes.com/layout.php?page=client&amp;id=591" TargetMode="External"/><Relationship Id="rId93" Type="http://schemas.openxmlformats.org/officeDocument/2006/relationships/hyperlink" Target="https://librodeclientes.com/layout.php?page=client&amp;id=531" TargetMode="External"/><Relationship Id="rId92" Type="http://schemas.openxmlformats.org/officeDocument/2006/relationships/hyperlink" Target="https://librodeclientes.com/layout.php?page=client&amp;id=531" TargetMode="External"/><Relationship Id="rId118" Type="http://schemas.openxmlformats.org/officeDocument/2006/relationships/hyperlink" Target="https://librodeclientes.com/layout.php?page=client&amp;id=444" TargetMode="External"/><Relationship Id="rId117" Type="http://schemas.openxmlformats.org/officeDocument/2006/relationships/hyperlink" Target="https://librodeclientes.com/layout.php?page=client&amp;id=578" TargetMode="External"/><Relationship Id="rId359" Type="http://schemas.openxmlformats.org/officeDocument/2006/relationships/hyperlink" Target="https://librodeclientes.com/layout.php?page=client&amp;id=502" TargetMode="External"/><Relationship Id="rId116" Type="http://schemas.openxmlformats.org/officeDocument/2006/relationships/hyperlink" Target="https://librodeclientes.com/layout.php?page=client&amp;id=501" TargetMode="External"/><Relationship Id="rId358" Type="http://schemas.openxmlformats.org/officeDocument/2006/relationships/hyperlink" Target="https://librodeclientes.com/layout.php?page=client&amp;id=502" TargetMode="External"/><Relationship Id="rId115" Type="http://schemas.openxmlformats.org/officeDocument/2006/relationships/hyperlink" Target="https://librodeclientes.com/layout.php?page=client&amp;id=448" TargetMode="External"/><Relationship Id="rId357" Type="http://schemas.openxmlformats.org/officeDocument/2006/relationships/hyperlink" Target="https://librodeclientes.com/layout.php?page=client&amp;id=503" TargetMode="External"/><Relationship Id="rId599" Type="http://schemas.openxmlformats.org/officeDocument/2006/relationships/hyperlink" Target="https://librodeclientes.com/layout.php?page=client&amp;id=401" TargetMode="External"/><Relationship Id="rId119" Type="http://schemas.openxmlformats.org/officeDocument/2006/relationships/hyperlink" Target="https://librodeclientes.com/layout.php?page=client&amp;id=559" TargetMode="External"/><Relationship Id="rId110" Type="http://schemas.openxmlformats.org/officeDocument/2006/relationships/hyperlink" Target="https://librodeclientes.com/layout.php?page=client&amp;id=498" TargetMode="External"/><Relationship Id="rId352" Type="http://schemas.openxmlformats.org/officeDocument/2006/relationships/hyperlink" Target="https://librodeclientes.com/layout.php?page=client&amp;id=505" TargetMode="External"/><Relationship Id="rId594" Type="http://schemas.openxmlformats.org/officeDocument/2006/relationships/hyperlink" Target="https://librodeclientes.com/layout.php?page=client&amp;id=381" TargetMode="External"/><Relationship Id="rId351" Type="http://schemas.openxmlformats.org/officeDocument/2006/relationships/hyperlink" Target="https://librodeclientes.com/layout.php?page=client&amp;id=506" TargetMode="External"/><Relationship Id="rId593" Type="http://schemas.openxmlformats.org/officeDocument/2006/relationships/hyperlink" Target="https://librodeclientes.com/layout.php?page=client&amp;id=404" TargetMode="External"/><Relationship Id="rId350" Type="http://schemas.openxmlformats.org/officeDocument/2006/relationships/hyperlink" Target="https://librodeclientes.com/layout.php?page=client&amp;id=507" TargetMode="External"/><Relationship Id="rId592" Type="http://schemas.openxmlformats.org/officeDocument/2006/relationships/hyperlink" Target="https://librodeclientes.com/layout.php?page=client&amp;id=120" TargetMode="External"/><Relationship Id="rId591" Type="http://schemas.openxmlformats.org/officeDocument/2006/relationships/hyperlink" Target="https://librodeclientes.com/layout.php?page=client&amp;id=120" TargetMode="External"/><Relationship Id="rId114" Type="http://schemas.openxmlformats.org/officeDocument/2006/relationships/hyperlink" Target="https://librodeclientes.com/layout.php?page=client&amp;id=579" TargetMode="External"/><Relationship Id="rId356" Type="http://schemas.openxmlformats.org/officeDocument/2006/relationships/hyperlink" Target="https://librodeclientes.com/layout.php?page=client&amp;id=503" TargetMode="External"/><Relationship Id="rId598" Type="http://schemas.openxmlformats.org/officeDocument/2006/relationships/hyperlink" Target="https://librodeclientes.com/layout.php?page=client&amp;id=408" TargetMode="External"/><Relationship Id="rId113" Type="http://schemas.openxmlformats.org/officeDocument/2006/relationships/hyperlink" Target="https://librodeclientes.com/layout.php?page=client&amp;id=539" TargetMode="External"/><Relationship Id="rId355" Type="http://schemas.openxmlformats.org/officeDocument/2006/relationships/hyperlink" Target="https://librodeclientes.com/layout.php?page=client&amp;id=503" TargetMode="External"/><Relationship Id="rId597" Type="http://schemas.openxmlformats.org/officeDocument/2006/relationships/hyperlink" Target="https://librodeclientes.com/layout.php?page=client&amp;id=409" TargetMode="External"/><Relationship Id="rId112" Type="http://schemas.openxmlformats.org/officeDocument/2006/relationships/hyperlink" Target="https://librodeclientes.com/layout.php?page=client&amp;id=585" TargetMode="External"/><Relationship Id="rId354" Type="http://schemas.openxmlformats.org/officeDocument/2006/relationships/hyperlink" Target="https://librodeclientes.com/layout.php?page=client&amp;id=505" TargetMode="External"/><Relationship Id="rId596" Type="http://schemas.openxmlformats.org/officeDocument/2006/relationships/hyperlink" Target="https://librodeclientes.com/layout.php?page=client&amp;id=217" TargetMode="External"/><Relationship Id="rId111" Type="http://schemas.openxmlformats.org/officeDocument/2006/relationships/hyperlink" Target="https://librodeclientes.com/layout.php?page=client&amp;id=582" TargetMode="External"/><Relationship Id="rId353" Type="http://schemas.openxmlformats.org/officeDocument/2006/relationships/hyperlink" Target="https://librodeclientes.com/layout.php?page=client&amp;id=505" TargetMode="External"/><Relationship Id="rId595" Type="http://schemas.openxmlformats.org/officeDocument/2006/relationships/hyperlink" Target="https://librodeclientes.com/layout.php?page=client&amp;id=410" TargetMode="External"/><Relationship Id="rId305" Type="http://schemas.openxmlformats.org/officeDocument/2006/relationships/hyperlink" Target="https://librodeclientes.com/layout.php?page=client&amp;id=164" TargetMode="External"/><Relationship Id="rId547" Type="http://schemas.openxmlformats.org/officeDocument/2006/relationships/hyperlink" Target="https://librodeclientes.com/layout.php?page=client&amp;id=425" TargetMode="External"/><Relationship Id="rId789" Type="http://schemas.openxmlformats.org/officeDocument/2006/relationships/hyperlink" Target="https://librodeclientes.com/layout.php?page=client&amp;id=175" TargetMode="External"/><Relationship Id="rId304" Type="http://schemas.openxmlformats.org/officeDocument/2006/relationships/hyperlink" Target="https://librodeclientes.com/layout.php?page=client&amp;id=516" TargetMode="External"/><Relationship Id="rId546" Type="http://schemas.openxmlformats.org/officeDocument/2006/relationships/hyperlink" Target="https://librodeclientes.com/layout.php?page=client&amp;id=425" TargetMode="External"/><Relationship Id="rId788" Type="http://schemas.openxmlformats.org/officeDocument/2006/relationships/hyperlink" Target="https://librodeclientes.com/layout.php?page=client&amp;id=165" TargetMode="External"/><Relationship Id="rId303" Type="http://schemas.openxmlformats.org/officeDocument/2006/relationships/hyperlink" Target="https://librodeclientes.com/layout.php?page=client&amp;id=516" TargetMode="External"/><Relationship Id="rId545" Type="http://schemas.openxmlformats.org/officeDocument/2006/relationships/hyperlink" Target="https://librodeclientes.com/layout.php?page=client&amp;id=426" TargetMode="External"/><Relationship Id="rId787" Type="http://schemas.openxmlformats.org/officeDocument/2006/relationships/hyperlink" Target="https://librodeclientes.com/layout.php?page=client&amp;id=217" TargetMode="External"/><Relationship Id="rId302" Type="http://schemas.openxmlformats.org/officeDocument/2006/relationships/hyperlink" Target="https://librodeclientes.com/layout.php?page=client&amp;id=515" TargetMode="External"/><Relationship Id="rId544" Type="http://schemas.openxmlformats.org/officeDocument/2006/relationships/hyperlink" Target="https://librodeclientes.com/layout.php?page=client&amp;id=427" TargetMode="External"/><Relationship Id="rId786" Type="http://schemas.openxmlformats.org/officeDocument/2006/relationships/hyperlink" Target="https://librodeclientes.com/layout.php?page=client&amp;id=165" TargetMode="External"/><Relationship Id="rId309" Type="http://schemas.openxmlformats.org/officeDocument/2006/relationships/hyperlink" Target="https://librodeclientes.com/layout.php?page=client&amp;id=426" TargetMode="External"/><Relationship Id="rId308" Type="http://schemas.openxmlformats.org/officeDocument/2006/relationships/hyperlink" Target="https://librodeclientes.com/layout.php?page=client&amp;id=426" TargetMode="External"/><Relationship Id="rId307" Type="http://schemas.openxmlformats.org/officeDocument/2006/relationships/hyperlink" Target="https://librodeclientes.com/layout.php?page=client&amp;id=426" TargetMode="External"/><Relationship Id="rId549" Type="http://schemas.openxmlformats.org/officeDocument/2006/relationships/hyperlink" Target="https://librodeclientes.com/layout.php?page=client&amp;id=425" TargetMode="External"/><Relationship Id="rId306" Type="http://schemas.openxmlformats.org/officeDocument/2006/relationships/hyperlink" Target="https://librodeclientes.com/layout.php?page=client&amp;id=164" TargetMode="External"/><Relationship Id="rId548" Type="http://schemas.openxmlformats.org/officeDocument/2006/relationships/hyperlink" Target="https://librodeclientes.com/layout.php?page=client&amp;id=425" TargetMode="External"/><Relationship Id="rId781" Type="http://schemas.openxmlformats.org/officeDocument/2006/relationships/hyperlink" Target="https://librodeclientes.com/layout.php?page=client&amp;id=214" TargetMode="External"/><Relationship Id="rId780" Type="http://schemas.openxmlformats.org/officeDocument/2006/relationships/hyperlink" Target="https://librodeclientes.com/layout.php?page=client&amp;id=220" TargetMode="External"/><Relationship Id="rId301" Type="http://schemas.openxmlformats.org/officeDocument/2006/relationships/hyperlink" Target="https://librodeclientes.com/layout.php?page=client&amp;id=518" TargetMode="External"/><Relationship Id="rId543" Type="http://schemas.openxmlformats.org/officeDocument/2006/relationships/hyperlink" Target="https://librodeclientes.com/layout.php?page=client&amp;id=183" TargetMode="External"/><Relationship Id="rId785" Type="http://schemas.openxmlformats.org/officeDocument/2006/relationships/hyperlink" Target="https://librodeclientes.com/layout.php?page=client&amp;id=218" TargetMode="External"/><Relationship Id="rId300" Type="http://schemas.openxmlformats.org/officeDocument/2006/relationships/hyperlink" Target="https://librodeclientes.com/layout.php?page=client&amp;id=515" TargetMode="External"/><Relationship Id="rId542" Type="http://schemas.openxmlformats.org/officeDocument/2006/relationships/hyperlink" Target="https://librodeclientes.com/layout.php?page=client&amp;id=428" TargetMode="External"/><Relationship Id="rId784" Type="http://schemas.openxmlformats.org/officeDocument/2006/relationships/hyperlink" Target="https://librodeclientes.com/layout.php?page=client&amp;id=219" TargetMode="External"/><Relationship Id="rId541" Type="http://schemas.openxmlformats.org/officeDocument/2006/relationships/hyperlink" Target="https://librodeclientes.com/layout.php?page=client&amp;id=429" TargetMode="External"/><Relationship Id="rId783" Type="http://schemas.openxmlformats.org/officeDocument/2006/relationships/hyperlink" Target="https://librodeclientes.com/layout.php?page=client&amp;id=219" TargetMode="External"/><Relationship Id="rId540" Type="http://schemas.openxmlformats.org/officeDocument/2006/relationships/hyperlink" Target="https://librodeclientes.com/layout.php?page=client&amp;id=107" TargetMode="External"/><Relationship Id="rId782" Type="http://schemas.openxmlformats.org/officeDocument/2006/relationships/hyperlink" Target="https://librodeclientes.com/layout.php?page=client&amp;id=219" TargetMode="External"/><Relationship Id="rId536" Type="http://schemas.openxmlformats.org/officeDocument/2006/relationships/hyperlink" Target="https://librodeclientes.com/layout.php?page=client&amp;id=430" TargetMode="External"/><Relationship Id="rId778" Type="http://schemas.openxmlformats.org/officeDocument/2006/relationships/hyperlink" Target="https://librodeclientes.com/layout.php?page=client&amp;id=212" TargetMode="External"/><Relationship Id="rId535" Type="http://schemas.openxmlformats.org/officeDocument/2006/relationships/hyperlink" Target="https://librodeclientes.com/layout.php?page=client&amp;id=430" TargetMode="External"/><Relationship Id="rId777" Type="http://schemas.openxmlformats.org/officeDocument/2006/relationships/hyperlink" Target="https://librodeclientes.com/layout.php?page=client&amp;id=221" TargetMode="External"/><Relationship Id="rId534" Type="http://schemas.openxmlformats.org/officeDocument/2006/relationships/hyperlink" Target="https://librodeclientes.com/layout.php?page=client&amp;id=430" TargetMode="External"/><Relationship Id="rId776" Type="http://schemas.openxmlformats.org/officeDocument/2006/relationships/hyperlink" Target="https://librodeclientes.com/layout.php?page=client&amp;id=142" TargetMode="External"/><Relationship Id="rId533" Type="http://schemas.openxmlformats.org/officeDocument/2006/relationships/hyperlink" Target="https://librodeclientes.com/layout.php?page=client&amp;id=175" TargetMode="External"/><Relationship Id="rId775" Type="http://schemas.openxmlformats.org/officeDocument/2006/relationships/hyperlink" Target="https://librodeclientes.com/layout.php?page=client&amp;id=215" TargetMode="External"/><Relationship Id="rId539" Type="http://schemas.openxmlformats.org/officeDocument/2006/relationships/hyperlink" Target="https://librodeclientes.com/layout.php?page=client&amp;id=107" TargetMode="External"/><Relationship Id="rId538" Type="http://schemas.openxmlformats.org/officeDocument/2006/relationships/hyperlink" Target="https://librodeclientes.com/layout.php?page=client&amp;id=430" TargetMode="External"/><Relationship Id="rId537" Type="http://schemas.openxmlformats.org/officeDocument/2006/relationships/hyperlink" Target="https://librodeclientes.com/layout.php?page=client&amp;id=430" TargetMode="External"/><Relationship Id="rId779" Type="http://schemas.openxmlformats.org/officeDocument/2006/relationships/hyperlink" Target="https://librodeclientes.com/layout.php?page=client&amp;id=208" TargetMode="External"/><Relationship Id="rId770" Type="http://schemas.openxmlformats.org/officeDocument/2006/relationships/hyperlink" Target="https://librodeclientes.com/layout.php?page=client&amp;id=223" TargetMode="External"/><Relationship Id="rId532" Type="http://schemas.openxmlformats.org/officeDocument/2006/relationships/hyperlink" Target="https://librodeclientes.com/layout.php?page=client&amp;id=167" TargetMode="External"/><Relationship Id="rId774" Type="http://schemas.openxmlformats.org/officeDocument/2006/relationships/hyperlink" Target="https://librodeclientes.com/layout.php?page=client&amp;id=222" TargetMode="External"/><Relationship Id="rId531" Type="http://schemas.openxmlformats.org/officeDocument/2006/relationships/hyperlink" Target="https://librodeclientes.com/layout.php?page=client&amp;id=167" TargetMode="External"/><Relationship Id="rId773" Type="http://schemas.openxmlformats.org/officeDocument/2006/relationships/hyperlink" Target="https://librodeclientes.com/layout.php?page=client&amp;id=183" TargetMode="External"/><Relationship Id="rId530" Type="http://schemas.openxmlformats.org/officeDocument/2006/relationships/hyperlink" Target="https://librodeclientes.com/layout.php?page=client&amp;id=193" TargetMode="External"/><Relationship Id="rId772" Type="http://schemas.openxmlformats.org/officeDocument/2006/relationships/hyperlink" Target="https://librodeclientes.com/layout.php?page=client&amp;id=183" TargetMode="External"/><Relationship Id="rId771" Type="http://schemas.openxmlformats.org/officeDocument/2006/relationships/hyperlink" Target="https://librodeclientes.com/layout.php?page=client&amp;id=183" TargetMode="External"/><Relationship Id="rId327" Type="http://schemas.openxmlformats.org/officeDocument/2006/relationships/hyperlink" Target="https://librodeclientes.com/layout.php?page=client&amp;id=512" TargetMode="External"/><Relationship Id="rId569" Type="http://schemas.openxmlformats.org/officeDocument/2006/relationships/hyperlink" Target="https://librodeclientes.com/layout.php?page=client&amp;id=407" TargetMode="External"/><Relationship Id="rId326" Type="http://schemas.openxmlformats.org/officeDocument/2006/relationships/hyperlink" Target="https://librodeclientes.com/layout.php?page=client&amp;id=512" TargetMode="External"/><Relationship Id="rId568" Type="http://schemas.openxmlformats.org/officeDocument/2006/relationships/hyperlink" Target="https://librodeclientes.com/layout.php?page=client&amp;id=143" TargetMode="External"/><Relationship Id="rId325" Type="http://schemas.openxmlformats.org/officeDocument/2006/relationships/hyperlink" Target="https://librodeclientes.com/layout.php?page=client&amp;id=512" TargetMode="External"/><Relationship Id="rId567" Type="http://schemas.openxmlformats.org/officeDocument/2006/relationships/hyperlink" Target="https://librodeclientes.com/layout.php?page=client&amp;id=414" TargetMode="External"/><Relationship Id="rId324" Type="http://schemas.openxmlformats.org/officeDocument/2006/relationships/hyperlink" Target="https://librodeclientes.com/layout.php?page=client&amp;id=512" TargetMode="External"/><Relationship Id="rId566" Type="http://schemas.openxmlformats.org/officeDocument/2006/relationships/hyperlink" Target="https://librodeclientes.com/layout.php?page=client&amp;id=419" TargetMode="External"/><Relationship Id="rId329" Type="http://schemas.openxmlformats.org/officeDocument/2006/relationships/hyperlink" Target="https://librodeclientes.com/layout.php?page=client&amp;id=511" TargetMode="External"/><Relationship Id="rId328" Type="http://schemas.openxmlformats.org/officeDocument/2006/relationships/hyperlink" Target="https://librodeclientes.com/layout.php?page=client&amp;id=512" TargetMode="External"/><Relationship Id="rId561" Type="http://schemas.openxmlformats.org/officeDocument/2006/relationships/hyperlink" Target="https://librodeclientes.com/layout.php?page=client&amp;id=420" TargetMode="External"/><Relationship Id="rId560" Type="http://schemas.openxmlformats.org/officeDocument/2006/relationships/hyperlink" Target="https://librodeclientes.com/layout.php?page=client&amp;id=140" TargetMode="External"/><Relationship Id="rId323" Type="http://schemas.openxmlformats.org/officeDocument/2006/relationships/hyperlink" Target="https://librodeclientes.com/layout.php?page=client&amp;id=512" TargetMode="External"/><Relationship Id="rId565" Type="http://schemas.openxmlformats.org/officeDocument/2006/relationships/hyperlink" Target="https://librodeclientes.com/layout.php?page=client&amp;id=136" TargetMode="External"/><Relationship Id="rId322" Type="http://schemas.openxmlformats.org/officeDocument/2006/relationships/hyperlink" Target="https://librodeclientes.com/layout.php?page=client&amp;id=513" TargetMode="External"/><Relationship Id="rId564" Type="http://schemas.openxmlformats.org/officeDocument/2006/relationships/hyperlink" Target="https://librodeclientes.com/layout.php?page=client&amp;id=117" TargetMode="External"/><Relationship Id="rId321" Type="http://schemas.openxmlformats.org/officeDocument/2006/relationships/hyperlink" Target="https://librodeclientes.com/layout.php?page=client&amp;id=513" TargetMode="External"/><Relationship Id="rId563" Type="http://schemas.openxmlformats.org/officeDocument/2006/relationships/hyperlink" Target="https://librodeclientes.com/layout.php?page=client&amp;id=117" TargetMode="External"/><Relationship Id="rId320" Type="http://schemas.openxmlformats.org/officeDocument/2006/relationships/hyperlink" Target="https://librodeclientes.com/layout.php?page=client&amp;id=513" TargetMode="External"/><Relationship Id="rId562" Type="http://schemas.openxmlformats.org/officeDocument/2006/relationships/hyperlink" Target="https://librodeclientes.com/layout.php?page=client&amp;id=220" TargetMode="External"/><Relationship Id="rId316" Type="http://schemas.openxmlformats.org/officeDocument/2006/relationships/hyperlink" Target="https://librodeclientes.com/layout.php?page=client&amp;id=514" TargetMode="External"/><Relationship Id="rId558" Type="http://schemas.openxmlformats.org/officeDocument/2006/relationships/hyperlink" Target="https://librodeclientes.com/layout.php?page=client&amp;id=421" TargetMode="External"/><Relationship Id="rId315" Type="http://schemas.openxmlformats.org/officeDocument/2006/relationships/hyperlink" Target="https://librodeclientes.com/layout.php?page=client&amp;id=164" TargetMode="External"/><Relationship Id="rId557" Type="http://schemas.openxmlformats.org/officeDocument/2006/relationships/hyperlink" Target="https://librodeclientes.com/layout.php?page=client&amp;id=208" TargetMode="External"/><Relationship Id="rId799" Type="http://schemas.openxmlformats.org/officeDocument/2006/relationships/hyperlink" Target="https://librodeclientes.com/layout.php?page=client&amp;id=200" TargetMode="External"/><Relationship Id="rId314" Type="http://schemas.openxmlformats.org/officeDocument/2006/relationships/hyperlink" Target="https://librodeclientes.com/layout.php?page=client&amp;id=516" TargetMode="External"/><Relationship Id="rId556" Type="http://schemas.openxmlformats.org/officeDocument/2006/relationships/hyperlink" Target="https://librodeclientes.com/layout.php?page=client&amp;id=207" TargetMode="External"/><Relationship Id="rId798" Type="http://schemas.openxmlformats.org/officeDocument/2006/relationships/hyperlink" Target="https://librodeclientes.com/layout.php?page=client&amp;id=214" TargetMode="External"/><Relationship Id="rId313" Type="http://schemas.openxmlformats.org/officeDocument/2006/relationships/hyperlink" Target="https://librodeclientes.com/layout.php?page=client&amp;id=517" TargetMode="External"/><Relationship Id="rId555" Type="http://schemas.openxmlformats.org/officeDocument/2006/relationships/hyperlink" Target="https://librodeclientes.com/layout.php?page=client&amp;id=155" TargetMode="External"/><Relationship Id="rId797" Type="http://schemas.openxmlformats.org/officeDocument/2006/relationships/hyperlink" Target="https://librodeclientes.com/layout.php?page=client&amp;id=214" TargetMode="External"/><Relationship Id="rId319" Type="http://schemas.openxmlformats.org/officeDocument/2006/relationships/hyperlink" Target="https://librodeclientes.com/layout.php?page=client&amp;id=514" TargetMode="External"/><Relationship Id="rId318" Type="http://schemas.openxmlformats.org/officeDocument/2006/relationships/hyperlink" Target="https://librodeclientes.com/layout.php?page=client&amp;id=514" TargetMode="External"/><Relationship Id="rId317" Type="http://schemas.openxmlformats.org/officeDocument/2006/relationships/hyperlink" Target="https://librodeclientes.com/layout.php?page=client&amp;id=514" TargetMode="External"/><Relationship Id="rId559" Type="http://schemas.openxmlformats.org/officeDocument/2006/relationships/hyperlink" Target="https://librodeclientes.com/layout.php?page=client&amp;id=381" TargetMode="External"/><Relationship Id="rId550" Type="http://schemas.openxmlformats.org/officeDocument/2006/relationships/hyperlink" Target="https://librodeclientes.com/layout.php?page=client&amp;id=425" TargetMode="External"/><Relationship Id="rId792" Type="http://schemas.openxmlformats.org/officeDocument/2006/relationships/hyperlink" Target="https://librodeclientes.com/layout.php?page=client&amp;id=216" TargetMode="External"/><Relationship Id="rId791" Type="http://schemas.openxmlformats.org/officeDocument/2006/relationships/hyperlink" Target="https://librodeclientes.com/layout.php?page=client&amp;id=215" TargetMode="External"/><Relationship Id="rId790" Type="http://schemas.openxmlformats.org/officeDocument/2006/relationships/hyperlink" Target="https://librodeclientes.com/layout.php?page=client&amp;id=216" TargetMode="External"/><Relationship Id="rId312" Type="http://schemas.openxmlformats.org/officeDocument/2006/relationships/hyperlink" Target="https://librodeclientes.com/layout.php?page=client&amp;id=426" TargetMode="External"/><Relationship Id="rId554" Type="http://schemas.openxmlformats.org/officeDocument/2006/relationships/hyperlink" Target="https://librodeclientes.com/layout.php?page=client&amp;id=175" TargetMode="External"/><Relationship Id="rId796" Type="http://schemas.openxmlformats.org/officeDocument/2006/relationships/hyperlink" Target="https://librodeclientes.com/layout.php?page=client&amp;id=212" TargetMode="External"/><Relationship Id="rId311" Type="http://schemas.openxmlformats.org/officeDocument/2006/relationships/hyperlink" Target="https://librodeclientes.com/layout.php?page=client&amp;id=426" TargetMode="External"/><Relationship Id="rId553" Type="http://schemas.openxmlformats.org/officeDocument/2006/relationships/hyperlink" Target="https://librodeclientes.com/layout.php?page=client&amp;id=424" TargetMode="External"/><Relationship Id="rId795" Type="http://schemas.openxmlformats.org/officeDocument/2006/relationships/hyperlink" Target="https://librodeclientes.com/layout.php?page=client&amp;id=184" TargetMode="External"/><Relationship Id="rId310" Type="http://schemas.openxmlformats.org/officeDocument/2006/relationships/hyperlink" Target="https://librodeclientes.com/layout.php?page=client&amp;id=426" TargetMode="External"/><Relationship Id="rId552" Type="http://schemas.openxmlformats.org/officeDocument/2006/relationships/hyperlink" Target="https://librodeclientes.com/layout.php?page=client&amp;id=423" TargetMode="External"/><Relationship Id="rId794" Type="http://schemas.openxmlformats.org/officeDocument/2006/relationships/hyperlink" Target="https://librodeclientes.com/layout.php?page=client&amp;id=155" TargetMode="External"/><Relationship Id="rId551" Type="http://schemas.openxmlformats.org/officeDocument/2006/relationships/hyperlink" Target="https://librodeclientes.com/layout.php?page=client&amp;id=424" TargetMode="External"/><Relationship Id="rId793" Type="http://schemas.openxmlformats.org/officeDocument/2006/relationships/hyperlink" Target="https://librodeclientes.com/layout.php?page=client&amp;id=155" TargetMode="External"/><Relationship Id="rId297" Type="http://schemas.openxmlformats.org/officeDocument/2006/relationships/hyperlink" Target="https://librodeclientes.com/layout.php?page=client&amp;id=520" TargetMode="External"/><Relationship Id="rId296" Type="http://schemas.openxmlformats.org/officeDocument/2006/relationships/hyperlink" Target="https://librodeclientes.com/layout.php?page=client&amp;id=485" TargetMode="External"/><Relationship Id="rId295" Type="http://schemas.openxmlformats.org/officeDocument/2006/relationships/hyperlink" Target="https://librodeclientes.com/layout.php?page=client&amp;id=521" TargetMode="External"/><Relationship Id="rId294" Type="http://schemas.openxmlformats.org/officeDocument/2006/relationships/hyperlink" Target="https://librodeclientes.com/layout.php?page=client&amp;id=191" TargetMode="External"/><Relationship Id="rId299" Type="http://schemas.openxmlformats.org/officeDocument/2006/relationships/hyperlink" Target="https://librodeclientes.com/layout.php?page=client&amp;id=514" TargetMode="External"/><Relationship Id="rId298" Type="http://schemas.openxmlformats.org/officeDocument/2006/relationships/hyperlink" Target="https://librodeclientes.com/layout.php?page=client&amp;id=518" TargetMode="External"/><Relationship Id="rId271" Type="http://schemas.openxmlformats.org/officeDocument/2006/relationships/hyperlink" Target="https://librodeclientes.com/layout.php?page=client&amp;id=527" TargetMode="External"/><Relationship Id="rId270" Type="http://schemas.openxmlformats.org/officeDocument/2006/relationships/hyperlink" Target="https://librodeclientes.com/layout.php?page=client&amp;id=528" TargetMode="External"/><Relationship Id="rId269" Type="http://schemas.openxmlformats.org/officeDocument/2006/relationships/hyperlink" Target="https://librodeclientes.com/layout.php?page=client&amp;id=528" TargetMode="External"/><Relationship Id="rId264" Type="http://schemas.openxmlformats.org/officeDocument/2006/relationships/hyperlink" Target="https://librodeclientes.com/layout.php?page=client&amp;id=473" TargetMode="External"/><Relationship Id="rId263" Type="http://schemas.openxmlformats.org/officeDocument/2006/relationships/hyperlink" Target="https://librodeclientes.com/layout.php?page=client&amp;id=473" TargetMode="External"/><Relationship Id="rId262" Type="http://schemas.openxmlformats.org/officeDocument/2006/relationships/hyperlink" Target="https://librodeclientes.com/layout.php?page=client&amp;id=473" TargetMode="External"/><Relationship Id="rId261" Type="http://schemas.openxmlformats.org/officeDocument/2006/relationships/hyperlink" Target="https://librodeclientes.com/layout.php?page=client&amp;id=473" TargetMode="External"/><Relationship Id="rId268" Type="http://schemas.openxmlformats.org/officeDocument/2006/relationships/hyperlink" Target="https://librodeclientes.com/layout.php?page=client&amp;id=405" TargetMode="External"/><Relationship Id="rId267" Type="http://schemas.openxmlformats.org/officeDocument/2006/relationships/hyperlink" Target="https://librodeclientes.com/layout.php?page=client&amp;id=175" TargetMode="External"/><Relationship Id="rId266" Type="http://schemas.openxmlformats.org/officeDocument/2006/relationships/hyperlink" Target="https://librodeclientes.com/layout.php?page=client&amp;id=175" TargetMode="External"/><Relationship Id="rId265" Type="http://schemas.openxmlformats.org/officeDocument/2006/relationships/hyperlink" Target="https://librodeclientes.com/layout.php?page=client&amp;id=529" TargetMode="External"/><Relationship Id="rId260" Type="http://schemas.openxmlformats.org/officeDocument/2006/relationships/hyperlink" Target="https://librodeclientes.com/layout.php?page=client&amp;id=473" TargetMode="External"/><Relationship Id="rId259" Type="http://schemas.openxmlformats.org/officeDocument/2006/relationships/hyperlink" Target="https://librodeclientes.com/layout.php?page=client&amp;id=473" TargetMode="External"/><Relationship Id="rId258" Type="http://schemas.openxmlformats.org/officeDocument/2006/relationships/hyperlink" Target="https://librodeclientes.com/layout.php?page=client&amp;id=473" TargetMode="External"/><Relationship Id="rId253" Type="http://schemas.openxmlformats.org/officeDocument/2006/relationships/hyperlink" Target="https://librodeclientes.com/layout.php?page=client&amp;id=169" TargetMode="External"/><Relationship Id="rId495" Type="http://schemas.openxmlformats.org/officeDocument/2006/relationships/hyperlink" Target="https://librodeclientes.com/layout.php?page=client&amp;id=446" TargetMode="External"/><Relationship Id="rId252" Type="http://schemas.openxmlformats.org/officeDocument/2006/relationships/hyperlink" Target="https://librodeclientes.com/layout.php?page=client&amp;id=531" TargetMode="External"/><Relationship Id="rId494" Type="http://schemas.openxmlformats.org/officeDocument/2006/relationships/hyperlink" Target="https://librodeclientes.com/layout.php?page=client&amp;id=447" TargetMode="External"/><Relationship Id="rId251" Type="http://schemas.openxmlformats.org/officeDocument/2006/relationships/hyperlink" Target="https://librodeclientes.com/layout.php?page=client&amp;id=532" TargetMode="External"/><Relationship Id="rId493" Type="http://schemas.openxmlformats.org/officeDocument/2006/relationships/hyperlink" Target="https://librodeclientes.com/layout.php?page=client&amp;id=448" TargetMode="External"/><Relationship Id="rId250" Type="http://schemas.openxmlformats.org/officeDocument/2006/relationships/hyperlink" Target="https://librodeclientes.com/layout.php?page=client&amp;id=443" TargetMode="External"/><Relationship Id="rId492" Type="http://schemas.openxmlformats.org/officeDocument/2006/relationships/hyperlink" Target="https://librodeclientes.com/layout.php?page=client&amp;id=449" TargetMode="External"/><Relationship Id="rId257" Type="http://schemas.openxmlformats.org/officeDocument/2006/relationships/hyperlink" Target="https://librodeclientes.com/layout.php?page=client&amp;id=473" TargetMode="External"/><Relationship Id="rId499" Type="http://schemas.openxmlformats.org/officeDocument/2006/relationships/hyperlink" Target="https://librodeclientes.com/layout.php?page=client&amp;id=443" TargetMode="External"/><Relationship Id="rId256" Type="http://schemas.openxmlformats.org/officeDocument/2006/relationships/hyperlink" Target="https://librodeclientes.com/layout.php?page=client&amp;id=473" TargetMode="External"/><Relationship Id="rId498" Type="http://schemas.openxmlformats.org/officeDocument/2006/relationships/hyperlink" Target="https://librodeclientes.com/layout.php?page=client&amp;id=444" TargetMode="External"/><Relationship Id="rId255" Type="http://schemas.openxmlformats.org/officeDocument/2006/relationships/hyperlink" Target="https://librodeclientes.com/layout.php?page=client&amp;id=530" TargetMode="External"/><Relationship Id="rId497" Type="http://schemas.openxmlformats.org/officeDocument/2006/relationships/hyperlink" Target="https://librodeclientes.com/layout.php?page=client&amp;id=444" TargetMode="External"/><Relationship Id="rId254" Type="http://schemas.openxmlformats.org/officeDocument/2006/relationships/hyperlink" Target="https://librodeclientes.com/layout.php?page=client&amp;id=530" TargetMode="External"/><Relationship Id="rId496" Type="http://schemas.openxmlformats.org/officeDocument/2006/relationships/hyperlink" Target="https://librodeclientes.com/layout.php?page=client&amp;id=445" TargetMode="External"/><Relationship Id="rId293" Type="http://schemas.openxmlformats.org/officeDocument/2006/relationships/hyperlink" Target="https://librodeclientes.com/layout.php?page=client&amp;id=191" TargetMode="External"/><Relationship Id="rId292" Type="http://schemas.openxmlformats.org/officeDocument/2006/relationships/hyperlink" Target="https://librodeclientes.com/layout.php?page=client&amp;id=503" TargetMode="External"/><Relationship Id="rId291" Type="http://schemas.openxmlformats.org/officeDocument/2006/relationships/hyperlink" Target="https://librodeclientes.com/layout.php?page=client&amp;id=503" TargetMode="External"/><Relationship Id="rId290" Type="http://schemas.openxmlformats.org/officeDocument/2006/relationships/hyperlink" Target="https://librodeclientes.com/layout.php?page=client&amp;id=511" TargetMode="External"/><Relationship Id="rId286" Type="http://schemas.openxmlformats.org/officeDocument/2006/relationships/hyperlink" Target="https://librodeclientes.com/layout.php?page=client&amp;id=523" TargetMode="External"/><Relationship Id="rId285" Type="http://schemas.openxmlformats.org/officeDocument/2006/relationships/hyperlink" Target="https://librodeclientes.com/layout.php?page=client&amp;id=523" TargetMode="External"/><Relationship Id="rId284" Type="http://schemas.openxmlformats.org/officeDocument/2006/relationships/hyperlink" Target="https://librodeclientes.com/layout.php?page=client&amp;id=524" TargetMode="External"/><Relationship Id="rId283" Type="http://schemas.openxmlformats.org/officeDocument/2006/relationships/hyperlink" Target="https://librodeclientes.com/layout.php?page=client&amp;id=524" TargetMode="External"/><Relationship Id="rId289" Type="http://schemas.openxmlformats.org/officeDocument/2006/relationships/hyperlink" Target="https://librodeclientes.com/layout.php?page=client&amp;id=426" TargetMode="External"/><Relationship Id="rId288" Type="http://schemas.openxmlformats.org/officeDocument/2006/relationships/hyperlink" Target="https://librodeclientes.com/layout.php?page=client&amp;id=426" TargetMode="External"/><Relationship Id="rId287" Type="http://schemas.openxmlformats.org/officeDocument/2006/relationships/hyperlink" Target="https://librodeclientes.com/layout.php?page=client&amp;id=426" TargetMode="External"/><Relationship Id="rId282" Type="http://schemas.openxmlformats.org/officeDocument/2006/relationships/hyperlink" Target="https://librodeclientes.com/layout.php?page=client&amp;id=525" TargetMode="External"/><Relationship Id="rId281" Type="http://schemas.openxmlformats.org/officeDocument/2006/relationships/hyperlink" Target="https://librodeclientes.com/layout.php?page=client&amp;id=525" TargetMode="External"/><Relationship Id="rId280" Type="http://schemas.openxmlformats.org/officeDocument/2006/relationships/hyperlink" Target="https://librodeclientes.com/layout.php?page=client&amp;id=525" TargetMode="External"/><Relationship Id="rId275" Type="http://schemas.openxmlformats.org/officeDocument/2006/relationships/hyperlink" Target="https://librodeclientes.com/layout.php?page=client&amp;id=498" TargetMode="External"/><Relationship Id="rId274" Type="http://schemas.openxmlformats.org/officeDocument/2006/relationships/hyperlink" Target="https://librodeclientes.com/layout.php?page=client&amp;id=527" TargetMode="External"/><Relationship Id="rId273" Type="http://schemas.openxmlformats.org/officeDocument/2006/relationships/hyperlink" Target="https://librodeclientes.com/layout.php?page=client&amp;id=500" TargetMode="External"/><Relationship Id="rId272" Type="http://schemas.openxmlformats.org/officeDocument/2006/relationships/hyperlink" Target="https://librodeclientes.com/layout.php?page=client&amp;id=500" TargetMode="External"/><Relationship Id="rId279" Type="http://schemas.openxmlformats.org/officeDocument/2006/relationships/hyperlink" Target="https://librodeclientes.com/layout.php?page=client&amp;id=525" TargetMode="External"/><Relationship Id="rId278" Type="http://schemas.openxmlformats.org/officeDocument/2006/relationships/hyperlink" Target="https://librodeclientes.com/layout.php?page=client&amp;id=525" TargetMode="External"/><Relationship Id="rId277" Type="http://schemas.openxmlformats.org/officeDocument/2006/relationships/hyperlink" Target="https://librodeclientes.com/layout.php?page=client&amp;id=526" TargetMode="External"/><Relationship Id="rId276" Type="http://schemas.openxmlformats.org/officeDocument/2006/relationships/hyperlink" Target="https://librodeclientes.com/layout.php?page=client&amp;id=498" TargetMode="External"/><Relationship Id="rId907" Type="http://schemas.openxmlformats.org/officeDocument/2006/relationships/hyperlink" Target="https://librodeclientes.com/layout.php?page=client&amp;id=163" TargetMode="External"/><Relationship Id="rId906" Type="http://schemas.openxmlformats.org/officeDocument/2006/relationships/hyperlink" Target="https://librodeclientes.com/layout.php?page=client&amp;id=164" TargetMode="External"/><Relationship Id="rId905" Type="http://schemas.openxmlformats.org/officeDocument/2006/relationships/hyperlink" Target="https://librodeclientes.com/layout.php?page=client&amp;id=164" TargetMode="External"/><Relationship Id="rId904" Type="http://schemas.openxmlformats.org/officeDocument/2006/relationships/hyperlink" Target="https://librodeclientes.com/layout.php?page=client&amp;id=165" TargetMode="External"/><Relationship Id="rId909" Type="http://schemas.openxmlformats.org/officeDocument/2006/relationships/hyperlink" Target="https://librodeclientes.com/layout.php?page=client&amp;id=162" TargetMode="External"/><Relationship Id="rId908" Type="http://schemas.openxmlformats.org/officeDocument/2006/relationships/hyperlink" Target="https://librodeclientes.com/layout.php?page=client&amp;id=163" TargetMode="External"/><Relationship Id="rId903" Type="http://schemas.openxmlformats.org/officeDocument/2006/relationships/hyperlink" Target="https://librodeclientes.com/layout.php?page=client&amp;id=165" TargetMode="External"/><Relationship Id="rId902" Type="http://schemas.openxmlformats.org/officeDocument/2006/relationships/hyperlink" Target="https://librodeclientes.com/layout.php?page=client&amp;id=165" TargetMode="External"/><Relationship Id="rId901" Type="http://schemas.openxmlformats.org/officeDocument/2006/relationships/hyperlink" Target="https://librodeclientes.com/layout.php?page=client&amp;id=165" TargetMode="External"/><Relationship Id="rId900" Type="http://schemas.openxmlformats.org/officeDocument/2006/relationships/hyperlink" Target="https://librodeclientes.com/layout.php?page=client&amp;id=166" TargetMode="External"/><Relationship Id="rId929" Type="http://schemas.openxmlformats.org/officeDocument/2006/relationships/hyperlink" Target="https://librodeclientes.com/layout.php?page=client&amp;id=55" TargetMode="External"/><Relationship Id="rId928" Type="http://schemas.openxmlformats.org/officeDocument/2006/relationships/hyperlink" Target="https://librodeclientes.com/layout.php?page=client&amp;id=141" TargetMode="External"/><Relationship Id="rId927" Type="http://schemas.openxmlformats.org/officeDocument/2006/relationships/hyperlink" Target="https://librodeclientes.com/layout.php?page=client&amp;id=150" TargetMode="External"/><Relationship Id="rId926" Type="http://schemas.openxmlformats.org/officeDocument/2006/relationships/hyperlink" Target="https://librodeclientes.com/layout.php?page=client&amp;id=55" TargetMode="External"/><Relationship Id="rId921" Type="http://schemas.openxmlformats.org/officeDocument/2006/relationships/hyperlink" Target="https://librodeclientes.com/layout.php?page=client&amp;id=160" TargetMode="External"/><Relationship Id="rId920" Type="http://schemas.openxmlformats.org/officeDocument/2006/relationships/hyperlink" Target="https://librodeclientes.com/layout.php?page=client&amp;id=160" TargetMode="External"/><Relationship Id="rId925" Type="http://schemas.openxmlformats.org/officeDocument/2006/relationships/hyperlink" Target="https://librodeclientes.com/layout.php?page=client&amp;id=158" TargetMode="External"/><Relationship Id="rId924" Type="http://schemas.openxmlformats.org/officeDocument/2006/relationships/hyperlink" Target="https://librodeclientes.com/layout.php?page=client&amp;id=158" TargetMode="External"/><Relationship Id="rId923" Type="http://schemas.openxmlformats.org/officeDocument/2006/relationships/hyperlink" Target="https://librodeclientes.com/layout.php?page=client&amp;id=55" TargetMode="External"/><Relationship Id="rId922" Type="http://schemas.openxmlformats.org/officeDocument/2006/relationships/hyperlink" Target="https://librodeclientes.com/layout.php?page=client&amp;id=159" TargetMode="External"/><Relationship Id="rId918" Type="http://schemas.openxmlformats.org/officeDocument/2006/relationships/hyperlink" Target="https://librodeclientes.com/layout.php?page=client&amp;id=113" TargetMode="External"/><Relationship Id="rId917" Type="http://schemas.openxmlformats.org/officeDocument/2006/relationships/hyperlink" Target="https://librodeclientes.com/layout.php?page=client&amp;id=138" TargetMode="External"/><Relationship Id="rId916" Type="http://schemas.openxmlformats.org/officeDocument/2006/relationships/hyperlink" Target="https://librodeclientes.com/layout.php?page=client&amp;id=138" TargetMode="External"/><Relationship Id="rId915" Type="http://schemas.openxmlformats.org/officeDocument/2006/relationships/hyperlink" Target="https://librodeclientes.com/layout.php?page=client&amp;id=161" TargetMode="External"/><Relationship Id="rId919" Type="http://schemas.openxmlformats.org/officeDocument/2006/relationships/hyperlink" Target="https://librodeclientes.com/layout.php?page=client&amp;id=143" TargetMode="External"/><Relationship Id="rId910" Type="http://schemas.openxmlformats.org/officeDocument/2006/relationships/hyperlink" Target="https://librodeclientes.com/layout.php?page=client&amp;id=162" TargetMode="External"/><Relationship Id="rId914" Type="http://schemas.openxmlformats.org/officeDocument/2006/relationships/hyperlink" Target="https://librodeclientes.com/layout.php?page=client&amp;id=161" TargetMode="External"/><Relationship Id="rId913" Type="http://schemas.openxmlformats.org/officeDocument/2006/relationships/hyperlink" Target="https://librodeclientes.com/layout.php?page=client&amp;id=161" TargetMode="External"/><Relationship Id="rId912" Type="http://schemas.openxmlformats.org/officeDocument/2006/relationships/hyperlink" Target="https://librodeclientes.com/layout.php?page=client&amp;id=161" TargetMode="External"/><Relationship Id="rId911" Type="http://schemas.openxmlformats.org/officeDocument/2006/relationships/hyperlink" Target="https://librodeclientes.com/layout.php?page=client&amp;id=162" TargetMode="External"/><Relationship Id="rId629" Type="http://schemas.openxmlformats.org/officeDocument/2006/relationships/hyperlink" Target="https://librodeclientes.com/layout.php?page=client&amp;id=165" TargetMode="External"/><Relationship Id="rId624" Type="http://schemas.openxmlformats.org/officeDocument/2006/relationships/hyperlink" Target="https://librodeclientes.com/layout.php?page=client&amp;id=139" TargetMode="External"/><Relationship Id="rId866" Type="http://schemas.openxmlformats.org/officeDocument/2006/relationships/hyperlink" Target="https://librodeclientes.com/layout.php?page=client&amp;id=96" TargetMode="External"/><Relationship Id="rId623" Type="http://schemas.openxmlformats.org/officeDocument/2006/relationships/hyperlink" Target="https://librodeclientes.com/layout.php?page=client&amp;id=139" TargetMode="External"/><Relationship Id="rId865" Type="http://schemas.openxmlformats.org/officeDocument/2006/relationships/hyperlink" Target="https://librodeclientes.com/layout.php?page=client&amp;id=96" TargetMode="External"/><Relationship Id="rId622" Type="http://schemas.openxmlformats.org/officeDocument/2006/relationships/hyperlink" Target="https://librodeclientes.com/layout.php?page=client&amp;id=175" TargetMode="External"/><Relationship Id="rId864" Type="http://schemas.openxmlformats.org/officeDocument/2006/relationships/hyperlink" Target="https://librodeclientes.com/layout.php?page=client&amp;id=135" TargetMode="External"/><Relationship Id="rId621" Type="http://schemas.openxmlformats.org/officeDocument/2006/relationships/hyperlink" Target="https://librodeclientes.com/layout.php?page=client&amp;id=390" TargetMode="External"/><Relationship Id="rId863" Type="http://schemas.openxmlformats.org/officeDocument/2006/relationships/hyperlink" Target="https://librodeclientes.com/layout.php?page=client&amp;id=189" TargetMode="External"/><Relationship Id="rId628" Type="http://schemas.openxmlformats.org/officeDocument/2006/relationships/hyperlink" Target="https://librodeclientes.com/layout.php?page=client&amp;id=165" TargetMode="External"/><Relationship Id="rId627" Type="http://schemas.openxmlformats.org/officeDocument/2006/relationships/hyperlink" Target="https://librodeclientes.com/layout.php?page=client&amp;id=165" TargetMode="External"/><Relationship Id="rId869" Type="http://schemas.openxmlformats.org/officeDocument/2006/relationships/hyperlink" Target="https://librodeclientes.com/layout.php?page=client&amp;id=190" TargetMode="External"/><Relationship Id="rId626" Type="http://schemas.openxmlformats.org/officeDocument/2006/relationships/hyperlink" Target="https://librodeclientes.com/layout.php?page=client&amp;id=139" TargetMode="External"/><Relationship Id="rId868" Type="http://schemas.openxmlformats.org/officeDocument/2006/relationships/hyperlink" Target="https://librodeclientes.com/layout.php?page=client&amp;id=190" TargetMode="External"/><Relationship Id="rId625" Type="http://schemas.openxmlformats.org/officeDocument/2006/relationships/hyperlink" Target="https://librodeclientes.com/layout.php?page=client&amp;id=139" TargetMode="External"/><Relationship Id="rId867" Type="http://schemas.openxmlformats.org/officeDocument/2006/relationships/hyperlink" Target="https://librodeclientes.com/layout.php?page=client&amp;id=184" TargetMode="External"/><Relationship Id="rId620" Type="http://schemas.openxmlformats.org/officeDocument/2006/relationships/hyperlink" Target="https://librodeclientes.com/layout.php?page=client&amp;id=391" TargetMode="External"/><Relationship Id="rId862" Type="http://schemas.openxmlformats.org/officeDocument/2006/relationships/hyperlink" Target="https://librodeclientes.com/layout.php?page=client&amp;id=37" TargetMode="External"/><Relationship Id="rId861" Type="http://schemas.openxmlformats.org/officeDocument/2006/relationships/hyperlink" Target="https://librodeclientes.com/layout.php?page=client&amp;id=191" TargetMode="External"/><Relationship Id="rId860" Type="http://schemas.openxmlformats.org/officeDocument/2006/relationships/hyperlink" Target="https://librodeclientes.com/layout.php?page=client&amp;id=191" TargetMode="External"/><Relationship Id="rId619" Type="http://schemas.openxmlformats.org/officeDocument/2006/relationships/hyperlink" Target="https://librodeclientes.com/layout.php?page=client&amp;id=389" TargetMode="External"/><Relationship Id="rId618" Type="http://schemas.openxmlformats.org/officeDocument/2006/relationships/hyperlink" Target="https://librodeclientes.com/layout.php?page=client&amp;id=374" TargetMode="External"/><Relationship Id="rId613" Type="http://schemas.openxmlformats.org/officeDocument/2006/relationships/hyperlink" Target="https://librodeclientes.com/layout.php?page=client&amp;id=216" TargetMode="External"/><Relationship Id="rId855" Type="http://schemas.openxmlformats.org/officeDocument/2006/relationships/hyperlink" Target="https://librodeclientes.com/layout.php?page=client&amp;id=136" TargetMode="External"/><Relationship Id="rId612" Type="http://schemas.openxmlformats.org/officeDocument/2006/relationships/hyperlink" Target="https://librodeclientes.com/layout.php?page=client&amp;id=216" TargetMode="External"/><Relationship Id="rId854" Type="http://schemas.openxmlformats.org/officeDocument/2006/relationships/hyperlink" Target="https://librodeclientes.com/layout.php?page=client&amp;id=136" TargetMode="External"/><Relationship Id="rId611" Type="http://schemas.openxmlformats.org/officeDocument/2006/relationships/hyperlink" Target="https://librodeclientes.com/layout.php?page=client&amp;id=253" TargetMode="External"/><Relationship Id="rId853" Type="http://schemas.openxmlformats.org/officeDocument/2006/relationships/hyperlink" Target="https://librodeclientes.com/layout.php?page=client&amp;id=136" TargetMode="External"/><Relationship Id="rId610" Type="http://schemas.openxmlformats.org/officeDocument/2006/relationships/hyperlink" Target="https://librodeclientes.com/layout.php?page=client&amp;id=230" TargetMode="External"/><Relationship Id="rId852" Type="http://schemas.openxmlformats.org/officeDocument/2006/relationships/hyperlink" Target="https://librodeclientes.com/layout.php?page=client&amp;id=165" TargetMode="External"/><Relationship Id="rId617" Type="http://schemas.openxmlformats.org/officeDocument/2006/relationships/hyperlink" Target="https://librodeclientes.com/layout.php?page=client&amp;id=392" TargetMode="External"/><Relationship Id="rId859" Type="http://schemas.openxmlformats.org/officeDocument/2006/relationships/hyperlink" Target="https://librodeclientes.com/layout.php?page=client&amp;id=191" TargetMode="External"/><Relationship Id="rId616" Type="http://schemas.openxmlformats.org/officeDocument/2006/relationships/hyperlink" Target="https://librodeclientes.com/layout.php?page=client&amp;id=393" TargetMode="External"/><Relationship Id="rId858" Type="http://schemas.openxmlformats.org/officeDocument/2006/relationships/hyperlink" Target="https://librodeclientes.com/layout.php?page=client&amp;id=174" TargetMode="External"/><Relationship Id="rId615" Type="http://schemas.openxmlformats.org/officeDocument/2006/relationships/hyperlink" Target="https://librodeclientes.com/layout.php?page=client&amp;id=379" TargetMode="External"/><Relationship Id="rId857" Type="http://schemas.openxmlformats.org/officeDocument/2006/relationships/hyperlink" Target="https://librodeclientes.com/layout.php?page=client&amp;id=136" TargetMode="External"/><Relationship Id="rId614" Type="http://schemas.openxmlformats.org/officeDocument/2006/relationships/hyperlink" Target="https://librodeclientes.com/layout.php?page=client&amp;id=216" TargetMode="External"/><Relationship Id="rId856" Type="http://schemas.openxmlformats.org/officeDocument/2006/relationships/hyperlink" Target="https://librodeclientes.com/layout.php?page=client&amp;id=136" TargetMode="External"/><Relationship Id="rId851" Type="http://schemas.openxmlformats.org/officeDocument/2006/relationships/hyperlink" Target="https://librodeclientes.com/layout.php?page=client&amp;id=165" TargetMode="External"/><Relationship Id="rId850" Type="http://schemas.openxmlformats.org/officeDocument/2006/relationships/hyperlink" Target="https://librodeclientes.com/layout.php?page=client&amp;id=172" TargetMode="External"/><Relationship Id="rId409" Type="http://schemas.openxmlformats.org/officeDocument/2006/relationships/hyperlink" Target="https://librodeclientes.com/layout.php?page=client&amp;id=486" TargetMode="External"/><Relationship Id="rId404" Type="http://schemas.openxmlformats.org/officeDocument/2006/relationships/hyperlink" Target="https://librodeclientes.com/layout.php?page=client&amp;id=488" TargetMode="External"/><Relationship Id="rId646" Type="http://schemas.openxmlformats.org/officeDocument/2006/relationships/hyperlink" Target="https://librodeclientes.com/layout.php?page=client&amp;id=295" TargetMode="External"/><Relationship Id="rId888" Type="http://schemas.openxmlformats.org/officeDocument/2006/relationships/hyperlink" Target="https://librodeclientes.com/layout.php?page=client&amp;id=174" TargetMode="External"/><Relationship Id="rId403" Type="http://schemas.openxmlformats.org/officeDocument/2006/relationships/hyperlink" Target="https://librodeclientes.com/layout.php?page=client&amp;id=489" TargetMode="External"/><Relationship Id="rId645" Type="http://schemas.openxmlformats.org/officeDocument/2006/relationships/hyperlink" Target="https://librodeclientes.com/layout.php?page=client&amp;id=295" TargetMode="External"/><Relationship Id="rId887" Type="http://schemas.openxmlformats.org/officeDocument/2006/relationships/hyperlink" Target="https://librodeclientes.com/layout.php?page=client&amp;id=175" TargetMode="External"/><Relationship Id="rId402" Type="http://schemas.openxmlformats.org/officeDocument/2006/relationships/hyperlink" Target="https://librodeclientes.com/layout.php?page=client&amp;id=489" TargetMode="External"/><Relationship Id="rId644" Type="http://schemas.openxmlformats.org/officeDocument/2006/relationships/hyperlink" Target="https://librodeclientes.com/layout.php?page=client&amp;id=334" TargetMode="External"/><Relationship Id="rId886" Type="http://schemas.openxmlformats.org/officeDocument/2006/relationships/hyperlink" Target="https://librodeclientes.com/layout.php?page=client&amp;id=175" TargetMode="External"/><Relationship Id="rId401" Type="http://schemas.openxmlformats.org/officeDocument/2006/relationships/hyperlink" Target="https://librodeclientes.com/layout.php?page=client&amp;id=490" TargetMode="External"/><Relationship Id="rId643" Type="http://schemas.openxmlformats.org/officeDocument/2006/relationships/hyperlink" Target="https://librodeclientes.com/layout.php?page=client&amp;id=175" TargetMode="External"/><Relationship Id="rId885" Type="http://schemas.openxmlformats.org/officeDocument/2006/relationships/hyperlink" Target="https://librodeclientes.com/layout.php?page=client&amp;id=176" TargetMode="External"/><Relationship Id="rId408" Type="http://schemas.openxmlformats.org/officeDocument/2006/relationships/hyperlink" Target="https://librodeclientes.com/layout.php?page=client&amp;id=486" TargetMode="External"/><Relationship Id="rId407" Type="http://schemas.openxmlformats.org/officeDocument/2006/relationships/hyperlink" Target="https://librodeclientes.com/layout.php?page=client&amp;id=487" TargetMode="External"/><Relationship Id="rId649" Type="http://schemas.openxmlformats.org/officeDocument/2006/relationships/hyperlink" Target="https://librodeclientes.com/layout.php?page=client&amp;id=384" TargetMode="External"/><Relationship Id="rId406" Type="http://schemas.openxmlformats.org/officeDocument/2006/relationships/hyperlink" Target="https://librodeclientes.com/layout.php?page=client&amp;id=487" TargetMode="External"/><Relationship Id="rId648" Type="http://schemas.openxmlformats.org/officeDocument/2006/relationships/hyperlink" Target="https://librodeclientes.com/layout.php?page=client&amp;id=383" TargetMode="External"/><Relationship Id="rId405" Type="http://schemas.openxmlformats.org/officeDocument/2006/relationships/hyperlink" Target="https://librodeclientes.com/layout.php?page=client&amp;id=488" TargetMode="External"/><Relationship Id="rId647" Type="http://schemas.openxmlformats.org/officeDocument/2006/relationships/hyperlink" Target="https://librodeclientes.com/layout.php?page=client&amp;id=370" TargetMode="External"/><Relationship Id="rId889" Type="http://schemas.openxmlformats.org/officeDocument/2006/relationships/hyperlink" Target="https://librodeclientes.com/layout.php?page=client&amp;id=173" TargetMode="External"/><Relationship Id="rId880" Type="http://schemas.openxmlformats.org/officeDocument/2006/relationships/hyperlink" Target="https://librodeclientes.com/layout.php?page=client&amp;id=179" TargetMode="External"/><Relationship Id="rId400" Type="http://schemas.openxmlformats.org/officeDocument/2006/relationships/hyperlink" Target="https://librodeclientes.com/layout.php?page=client&amp;id=491" TargetMode="External"/><Relationship Id="rId642" Type="http://schemas.openxmlformats.org/officeDocument/2006/relationships/hyperlink" Target="https://librodeclientes.com/layout.php?page=client&amp;id=385" TargetMode="External"/><Relationship Id="rId884" Type="http://schemas.openxmlformats.org/officeDocument/2006/relationships/hyperlink" Target="https://librodeclientes.com/layout.php?page=client&amp;id=177" TargetMode="External"/><Relationship Id="rId641" Type="http://schemas.openxmlformats.org/officeDocument/2006/relationships/hyperlink" Target="https://librodeclientes.com/layout.php?page=client&amp;id=155" TargetMode="External"/><Relationship Id="rId883" Type="http://schemas.openxmlformats.org/officeDocument/2006/relationships/hyperlink" Target="https://librodeclientes.com/layout.php?page=client&amp;id=110" TargetMode="External"/><Relationship Id="rId640" Type="http://schemas.openxmlformats.org/officeDocument/2006/relationships/hyperlink" Target="https://librodeclientes.com/layout.php?page=client&amp;id=155" TargetMode="External"/><Relationship Id="rId882" Type="http://schemas.openxmlformats.org/officeDocument/2006/relationships/hyperlink" Target="https://librodeclientes.com/layout.php?page=client&amp;id=105" TargetMode="External"/><Relationship Id="rId881" Type="http://schemas.openxmlformats.org/officeDocument/2006/relationships/hyperlink" Target="https://librodeclientes.com/layout.php?page=client&amp;id=178" TargetMode="External"/><Relationship Id="rId635" Type="http://schemas.openxmlformats.org/officeDocument/2006/relationships/hyperlink" Target="https://librodeclientes.com/layout.php?page=client&amp;id=387" TargetMode="External"/><Relationship Id="rId877" Type="http://schemas.openxmlformats.org/officeDocument/2006/relationships/hyperlink" Target="https://librodeclientes.com/layout.php?page=client&amp;id=180" TargetMode="External"/><Relationship Id="rId634" Type="http://schemas.openxmlformats.org/officeDocument/2006/relationships/hyperlink" Target="https://librodeclientes.com/layout.php?page=client&amp;id=207" TargetMode="External"/><Relationship Id="rId876" Type="http://schemas.openxmlformats.org/officeDocument/2006/relationships/hyperlink" Target="https://librodeclientes.com/layout.php?page=client&amp;id=181" TargetMode="External"/><Relationship Id="rId633" Type="http://schemas.openxmlformats.org/officeDocument/2006/relationships/hyperlink" Target="https://librodeclientes.com/layout.php?page=client&amp;id=374" TargetMode="External"/><Relationship Id="rId875" Type="http://schemas.openxmlformats.org/officeDocument/2006/relationships/hyperlink" Target="https://librodeclientes.com/layout.php?page=client&amp;id=182" TargetMode="External"/><Relationship Id="rId632" Type="http://schemas.openxmlformats.org/officeDocument/2006/relationships/hyperlink" Target="https://librodeclientes.com/layout.php?page=client&amp;id=388" TargetMode="External"/><Relationship Id="rId874" Type="http://schemas.openxmlformats.org/officeDocument/2006/relationships/hyperlink" Target="https://librodeclientes.com/layout.php?page=client&amp;id=113" TargetMode="External"/><Relationship Id="rId639" Type="http://schemas.openxmlformats.org/officeDocument/2006/relationships/hyperlink" Target="https://librodeclientes.com/layout.php?page=client&amp;id=155" TargetMode="External"/><Relationship Id="rId638" Type="http://schemas.openxmlformats.org/officeDocument/2006/relationships/hyperlink" Target="https://librodeclientes.com/layout.php?page=client&amp;id=386" TargetMode="External"/><Relationship Id="rId637" Type="http://schemas.openxmlformats.org/officeDocument/2006/relationships/hyperlink" Target="https://librodeclientes.com/layout.php?page=client&amp;id=379" TargetMode="External"/><Relationship Id="rId879" Type="http://schemas.openxmlformats.org/officeDocument/2006/relationships/hyperlink" Target="https://librodeclientes.com/layout.php?page=client&amp;id=150" TargetMode="External"/><Relationship Id="rId636" Type="http://schemas.openxmlformats.org/officeDocument/2006/relationships/hyperlink" Target="https://librodeclientes.com/layout.php?page=client&amp;id=382" TargetMode="External"/><Relationship Id="rId878" Type="http://schemas.openxmlformats.org/officeDocument/2006/relationships/hyperlink" Target="https://librodeclientes.com/layout.php?page=client&amp;id=180" TargetMode="External"/><Relationship Id="rId631" Type="http://schemas.openxmlformats.org/officeDocument/2006/relationships/hyperlink" Target="https://librodeclientes.com/layout.php?page=client&amp;id=388" TargetMode="External"/><Relationship Id="rId873" Type="http://schemas.openxmlformats.org/officeDocument/2006/relationships/hyperlink" Target="https://librodeclientes.com/layout.php?page=client&amp;id=183" TargetMode="External"/><Relationship Id="rId630" Type="http://schemas.openxmlformats.org/officeDocument/2006/relationships/hyperlink" Target="https://librodeclientes.com/layout.php?page=client&amp;id=220" TargetMode="External"/><Relationship Id="rId872" Type="http://schemas.openxmlformats.org/officeDocument/2006/relationships/hyperlink" Target="https://librodeclientes.com/layout.php?page=client&amp;id=187" TargetMode="External"/><Relationship Id="rId871" Type="http://schemas.openxmlformats.org/officeDocument/2006/relationships/hyperlink" Target="https://librodeclientes.com/layout.php?page=client&amp;id=163" TargetMode="External"/><Relationship Id="rId870" Type="http://schemas.openxmlformats.org/officeDocument/2006/relationships/hyperlink" Target="https://librodeclientes.com/layout.php?page=client&amp;id=190" TargetMode="External"/><Relationship Id="rId829" Type="http://schemas.openxmlformats.org/officeDocument/2006/relationships/hyperlink" Target="https://librodeclientes.com/layout.php?page=client&amp;id=170" TargetMode="External"/><Relationship Id="rId828" Type="http://schemas.openxmlformats.org/officeDocument/2006/relationships/hyperlink" Target="https://librodeclientes.com/layout.php?page=client&amp;id=170" TargetMode="External"/><Relationship Id="rId827" Type="http://schemas.openxmlformats.org/officeDocument/2006/relationships/hyperlink" Target="https://librodeclientes.com/layout.php?page=client&amp;id=128" TargetMode="External"/><Relationship Id="rId822" Type="http://schemas.openxmlformats.org/officeDocument/2006/relationships/hyperlink" Target="https://librodeclientes.com/layout.php?page=client&amp;id=204" TargetMode="External"/><Relationship Id="rId821" Type="http://schemas.openxmlformats.org/officeDocument/2006/relationships/hyperlink" Target="https://librodeclientes.com/layout.php?page=client&amp;id=10" TargetMode="External"/><Relationship Id="rId820" Type="http://schemas.openxmlformats.org/officeDocument/2006/relationships/hyperlink" Target="https://librodeclientes.com/layout.php?page=client&amp;id=205" TargetMode="External"/><Relationship Id="rId826" Type="http://schemas.openxmlformats.org/officeDocument/2006/relationships/hyperlink" Target="https://librodeclientes.com/layout.php?page=client&amp;id=128" TargetMode="External"/><Relationship Id="rId825" Type="http://schemas.openxmlformats.org/officeDocument/2006/relationships/hyperlink" Target="https://librodeclientes.com/layout.php?page=client&amp;id=180" TargetMode="External"/><Relationship Id="rId824" Type="http://schemas.openxmlformats.org/officeDocument/2006/relationships/hyperlink" Target="https://librodeclientes.com/layout.php?page=client&amp;id=204" TargetMode="External"/><Relationship Id="rId823" Type="http://schemas.openxmlformats.org/officeDocument/2006/relationships/hyperlink" Target="https://librodeclientes.com/layout.php?page=client&amp;id=204" TargetMode="External"/><Relationship Id="rId819" Type="http://schemas.openxmlformats.org/officeDocument/2006/relationships/hyperlink" Target="https://librodeclientes.com/layout.php?page=client&amp;id=205" TargetMode="External"/><Relationship Id="rId818" Type="http://schemas.openxmlformats.org/officeDocument/2006/relationships/hyperlink" Target="https://librodeclientes.com/layout.php?page=client&amp;id=206" TargetMode="External"/><Relationship Id="rId817" Type="http://schemas.openxmlformats.org/officeDocument/2006/relationships/hyperlink" Target="https://librodeclientes.com/layout.php?page=client&amp;id=159" TargetMode="External"/><Relationship Id="rId816" Type="http://schemas.openxmlformats.org/officeDocument/2006/relationships/hyperlink" Target="https://librodeclientes.com/layout.php?page=client&amp;id=159" TargetMode="External"/><Relationship Id="rId811" Type="http://schemas.openxmlformats.org/officeDocument/2006/relationships/hyperlink" Target="https://librodeclientes.com/layout.php?page=client&amp;id=208" TargetMode="External"/><Relationship Id="rId810" Type="http://schemas.openxmlformats.org/officeDocument/2006/relationships/hyperlink" Target="https://librodeclientes.com/layout.php?page=client&amp;id=209" TargetMode="External"/><Relationship Id="rId815" Type="http://schemas.openxmlformats.org/officeDocument/2006/relationships/hyperlink" Target="https://librodeclientes.com/layout.php?page=client&amp;id=165" TargetMode="External"/><Relationship Id="rId814" Type="http://schemas.openxmlformats.org/officeDocument/2006/relationships/hyperlink" Target="https://librodeclientes.com/layout.php?page=client&amp;id=164" TargetMode="External"/><Relationship Id="rId813" Type="http://schemas.openxmlformats.org/officeDocument/2006/relationships/hyperlink" Target="https://librodeclientes.com/layout.php?page=client&amp;id=170" TargetMode="External"/><Relationship Id="rId812" Type="http://schemas.openxmlformats.org/officeDocument/2006/relationships/hyperlink" Target="https://librodeclientes.com/layout.php?page=client&amp;id=207" TargetMode="External"/><Relationship Id="rId609" Type="http://schemas.openxmlformats.org/officeDocument/2006/relationships/hyperlink" Target="https://librodeclientes.com/layout.php?page=client&amp;id=230" TargetMode="External"/><Relationship Id="rId608" Type="http://schemas.openxmlformats.org/officeDocument/2006/relationships/hyperlink" Target="https://librodeclientes.com/layout.php?page=client&amp;id=394" TargetMode="External"/><Relationship Id="rId607" Type="http://schemas.openxmlformats.org/officeDocument/2006/relationships/hyperlink" Target="https://librodeclientes.com/layout.php?page=client&amp;id=395" TargetMode="External"/><Relationship Id="rId849" Type="http://schemas.openxmlformats.org/officeDocument/2006/relationships/hyperlink" Target="https://librodeclientes.com/layout.php?page=client&amp;id=174" TargetMode="External"/><Relationship Id="rId602" Type="http://schemas.openxmlformats.org/officeDocument/2006/relationships/hyperlink" Target="https://librodeclientes.com/layout.php?page=client&amp;id=399" TargetMode="External"/><Relationship Id="rId844" Type="http://schemas.openxmlformats.org/officeDocument/2006/relationships/hyperlink" Target="https://librodeclientes.com/layout.php?page=client&amp;id=194" TargetMode="External"/><Relationship Id="rId601" Type="http://schemas.openxmlformats.org/officeDocument/2006/relationships/hyperlink" Target="https://librodeclientes.com/layout.php?page=client&amp;id=400" TargetMode="External"/><Relationship Id="rId843" Type="http://schemas.openxmlformats.org/officeDocument/2006/relationships/hyperlink" Target="https://librodeclientes.com/layout.php?page=client&amp;id=139" TargetMode="External"/><Relationship Id="rId600" Type="http://schemas.openxmlformats.org/officeDocument/2006/relationships/hyperlink" Target="https://librodeclientes.com/layout.php?page=client&amp;id=402" TargetMode="External"/><Relationship Id="rId842" Type="http://schemas.openxmlformats.org/officeDocument/2006/relationships/hyperlink" Target="https://librodeclientes.com/layout.php?page=client&amp;id=200" TargetMode="External"/><Relationship Id="rId841" Type="http://schemas.openxmlformats.org/officeDocument/2006/relationships/hyperlink" Target="https://librodeclientes.com/layout.php?page=client&amp;id=201" TargetMode="External"/><Relationship Id="rId606" Type="http://schemas.openxmlformats.org/officeDocument/2006/relationships/hyperlink" Target="https://librodeclientes.com/layout.php?page=client&amp;id=396" TargetMode="External"/><Relationship Id="rId848" Type="http://schemas.openxmlformats.org/officeDocument/2006/relationships/hyperlink" Target="https://librodeclientes.com/layout.php?page=client&amp;id=174" TargetMode="External"/><Relationship Id="rId605" Type="http://schemas.openxmlformats.org/officeDocument/2006/relationships/hyperlink" Target="https://librodeclientes.com/layout.php?page=client&amp;id=397" TargetMode="External"/><Relationship Id="rId847" Type="http://schemas.openxmlformats.org/officeDocument/2006/relationships/hyperlink" Target="https://librodeclientes.com/layout.php?page=client&amp;id=174" TargetMode="External"/><Relationship Id="rId604" Type="http://schemas.openxmlformats.org/officeDocument/2006/relationships/hyperlink" Target="https://librodeclientes.com/layout.php?page=client&amp;id=397" TargetMode="External"/><Relationship Id="rId846" Type="http://schemas.openxmlformats.org/officeDocument/2006/relationships/hyperlink" Target="https://librodeclientes.com/layout.php?page=client&amp;id=192" TargetMode="External"/><Relationship Id="rId603" Type="http://schemas.openxmlformats.org/officeDocument/2006/relationships/hyperlink" Target="https://librodeclientes.com/layout.php?page=client&amp;id=398" TargetMode="External"/><Relationship Id="rId845" Type="http://schemas.openxmlformats.org/officeDocument/2006/relationships/hyperlink" Target="https://librodeclientes.com/layout.php?page=client&amp;id=193" TargetMode="External"/><Relationship Id="rId840" Type="http://schemas.openxmlformats.org/officeDocument/2006/relationships/hyperlink" Target="https://librodeclientes.com/layout.php?page=client&amp;id=202" TargetMode="External"/><Relationship Id="rId839" Type="http://schemas.openxmlformats.org/officeDocument/2006/relationships/hyperlink" Target="https://librodeclientes.com/layout.php?page=client&amp;id=202" TargetMode="External"/><Relationship Id="rId838" Type="http://schemas.openxmlformats.org/officeDocument/2006/relationships/hyperlink" Target="https://librodeclientes.com/layout.php?page=client&amp;id=171" TargetMode="External"/><Relationship Id="rId833" Type="http://schemas.openxmlformats.org/officeDocument/2006/relationships/hyperlink" Target="https://librodeclientes.com/layout.php?page=client&amp;id=203" TargetMode="External"/><Relationship Id="rId832" Type="http://schemas.openxmlformats.org/officeDocument/2006/relationships/hyperlink" Target="https://librodeclientes.com/layout.php?page=client&amp;id=155" TargetMode="External"/><Relationship Id="rId831" Type="http://schemas.openxmlformats.org/officeDocument/2006/relationships/hyperlink" Target="https://librodeclientes.com/layout.php?page=client&amp;id=176" TargetMode="External"/><Relationship Id="rId830" Type="http://schemas.openxmlformats.org/officeDocument/2006/relationships/hyperlink" Target="https://librodeclientes.com/layout.php?page=client&amp;id=170" TargetMode="External"/><Relationship Id="rId837" Type="http://schemas.openxmlformats.org/officeDocument/2006/relationships/hyperlink" Target="https://librodeclientes.com/layout.php?page=client&amp;id=171" TargetMode="External"/><Relationship Id="rId836" Type="http://schemas.openxmlformats.org/officeDocument/2006/relationships/hyperlink" Target="https://librodeclientes.com/layout.php?page=client&amp;id=171" TargetMode="External"/><Relationship Id="rId835" Type="http://schemas.openxmlformats.org/officeDocument/2006/relationships/hyperlink" Target="https://librodeclientes.com/layout.php?page=client&amp;id=171" TargetMode="External"/><Relationship Id="rId834" Type="http://schemas.openxmlformats.org/officeDocument/2006/relationships/hyperlink" Target="https://librodeclientes.com/layout.php?page=client&amp;id=172" TargetMode="External"/><Relationship Id="rId228" Type="http://schemas.openxmlformats.org/officeDocument/2006/relationships/hyperlink" Target="https://librodeclientes.com/layout.php?page=client&amp;id=529" TargetMode="External"/><Relationship Id="rId227" Type="http://schemas.openxmlformats.org/officeDocument/2006/relationships/hyperlink" Target="https://librodeclientes.com/layout.php?page=client&amp;id=533" TargetMode="External"/><Relationship Id="rId469" Type="http://schemas.openxmlformats.org/officeDocument/2006/relationships/hyperlink" Target="https://librodeclientes.com/layout.php?page=client&amp;id=220" TargetMode="External"/><Relationship Id="rId226" Type="http://schemas.openxmlformats.org/officeDocument/2006/relationships/hyperlink" Target="https://librodeclientes.com/layout.php?page=client&amp;id=533" TargetMode="External"/><Relationship Id="rId468" Type="http://schemas.openxmlformats.org/officeDocument/2006/relationships/hyperlink" Target="https://librodeclientes.com/layout.php?page=client&amp;id=451" TargetMode="External"/><Relationship Id="rId225" Type="http://schemas.openxmlformats.org/officeDocument/2006/relationships/hyperlink" Target="https://librodeclientes.com/layout.php?page=client&amp;id=533" TargetMode="External"/><Relationship Id="rId467" Type="http://schemas.openxmlformats.org/officeDocument/2006/relationships/hyperlink" Target="https://librodeclientes.com/layout.php?page=client&amp;id=459" TargetMode="External"/><Relationship Id="rId229" Type="http://schemas.openxmlformats.org/officeDocument/2006/relationships/hyperlink" Target="https://librodeclientes.com/layout.php?page=client&amp;id=539" TargetMode="External"/><Relationship Id="rId220" Type="http://schemas.openxmlformats.org/officeDocument/2006/relationships/hyperlink" Target="https://librodeclientes.com/layout.php?page=client&amp;id=543" TargetMode="External"/><Relationship Id="rId462" Type="http://schemas.openxmlformats.org/officeDocument/2006/relationships/hyperlink" Target="https://librodeclientes.com/layout.php?page=client&amp;id=462" TargetMode="External"/><Relationship Id="rId461" Type="http://schemas.openxmlformats.org/officeDocument/2006/relationships/hyperlink" Target="https://librodeclientes.com/layout.php?page=client&amp;id=462" TargetMode="External"/><Relationship Id="rId460" Type="http://schemas.openxmlformats.org/officeDocument/2006/relationships/hyperlink" Target="https://librodeclientes.com/layout.php?page=client&amp;id=463" TargetMode="External"/><Relationship Id="rId224" Type="http://schemas.openxmlformats.org/officeDocument/2006/relationships/hyperlink" Target="https://librodeclientes.com/layout.php?page=client&amp;id=533" TargetMode="External"/><Relationship Id="rId466" Type="http://schemas.openxmlformats.org/officeDocument/2006/relationships/hyperlink" Target="https://librodeclientes.com/layout.php?page=client&amp;id=454" TargetMode="External"/><Relationship Id="rId223" Type="http://schemas.openxmlformats.org/officeDocument/2006/relationships/hyperlink" Target="https://librodeclientes.com/layout.php?page=client&amp;id=533" TargetMode="External"/><Relationship Id="rId465" Type="http://schemas.openxmlformats.org/officeDocument/2006/relationships/hyperlink" Target="https://librodeclientes.com/layout.php?page=client&amp;id=460" TargetMode="External"/><Relationship Id="rId222" Type="http://schemas.openxmlformats.org/officeDocument/2006/relationships/hyperlink" Target="https://librodeclientes.com/layout.php?page=client&amp;id=509" TargetMode="External"/><Relationship Id="rId464" Type="http://schemas.openxmlformats.org/officeDocument/2006/relationships/hyperlink" Target="https://librodeclientes.com/layout.php?page=client&amp;id=461" TargetMode="External"/><Relationship Id="rId221" Type="http://schemas.openxmlformats.org/officeDocument/2006/relationships/hyperlink" Target="https://librodeclientes.com/layout.php?page=client&amp;id=465" TargetMode="External"/><Relationship Id="rId463" Type="http://schemas.openxmlformats.org/officeDocument/2006/relationships/hyperlink" Target="https://librodeclientes.com/layout.php?page=client&amp;id=450" TargetMode="External"/><Relationship Id="rId217" Type="http://schemas.openxmlformats.org/officeDocument/2006/relationships/hyperlink" Target="https://librodeclientes.com/layout.php?page=client&amp;id=376" TargetMode="External"/><Relationship Id="rId459" Type="http://schemas.openxmlformats.org/officeDocument/2006/relationships/hyperlink" Target="https://librodeclientes.com/layout.php?page=client&amp;id=463" TargetMode="External"/><Relationship Id="rId216" Type="http://schemas.openxmlformats.org/officeDocument/2006/relationships/hyperlink" Target="https://librodeclientes.com/layout.php?page=client&amp;id=545" TargetMode="External"/><Relationship Id="rId458" Type="http://schemas.openxmlformats.org/officeDocument/2006/relationships/hyperlink" Target="https://librodeclientes.com/layout.php?page=client&amp;id=463" TargetMode="External"/><Relationship Id="rId215" Type="http://schemas.openxmlformats.org/officeDocument/2006/relationships/hyperlink" Target="https://librodeclientes.com/layout.php?page=client&amp;id=545" TargetMode="External"/><Relationship Id="rId457" Type="http://schemas.openxmlformats.org/officeDocument/2006/relationships/hyperlink" Target="https://librodeclientes.com/layout.php?page=client&amp;id=464" TargetMode="External"/><Relationship Id="rId699" Type="http://schemas.openxmlformats.org/officeDocument/2006/relationships/hyperlink" Target="https://librodeclientes.com/layout.php?page=client&amp;id=374" TargetMode="External"/><Relationship Id="rId214" Type="http://schemas.openxmlformats.org/officeDocument/2006/relationships/hyperlink" Target="https://librodeclientes.com/layout.php?page=client&amp;id=545" TargetMode="External"/><Relationship Id="rId456" Type="http://schemas.openxmlformats.org/officeDocument/2006/relationships/hyperlink" Target="https://librodeclientes.com/layout.php?page=client&amp;id=464" TargetMode="External"/><Relationship Id="rId698" Type="http://schemas.openxmlformats.org/officeDocument/2006/relationships/hyperlink" Target="https://librodeclientes.com/layout.php?page=client&amp;id=374" TargetMode="External"/><Relationship Id="rId219" Type="http://schemas.openxmlformats.org/officeDocument/2006/relationships/hyperlink" Target="https://librodeclientes.com/layout.php?page=client&amp;id=544" TargetMode="External"/><Relationship Id="rId218" Type="http://schemas.openxmlformats.org/officeDocument/2006/relationships/hyperlink" Target="https://librodeclientes.com/layout.php?page=client&amp;id=376" TargetMode="External"/><Relationship Id="rId451" Type="http://schemas.openxmlformats.org/officeDocument/2006/relationships/hyperlink" Target="https://librodeclientes.com/layout.php?page=client&amp;id=467" TargetMode="External"/><Relationship Id="rId693" Type="http://schemas.openxmlformats.org/officeDocument/2006/relationships/hyperlink" Target="https://librodeclientes.com/layout.php?page=client&amp;id=141" TargetMode="External"/><Relationship Id="rId450" Type="http://schemas.openxmlformats.org/officeDocument/2006/relationships/hyperlink" Target="https://librodeclientes.com/layout.php?page=client&amp;id=467" TargetMode="External"/><Relationship Id="rId692" Type="http://schemas.openxmlformats.org/officeDocument/2006/relationships/hyperlink" Target="https://librodeclientes.com/layout.php?page=client&amp;id=376" TargetMode="External"/><Relationship Id="rId691" Type="http://schemas.openxmlformats.org/officeDocument/2006/relationships/hyperlink" Target="https://librodeclientes.com/layout.php?page=client&amp;id=376" TargetMode="External"/><Relationship Id="rId690" Type="http://schemas.openxmlformats.org/officeDocument/2006/relationships/hyperlink" Target="https://librodeclientes.com/layout.php?page=client&amp;id=164" TargetMode="External"/><Relationship Id="rId213" Type="http://schemas.openxmlformats.org/officeDocument/2006/relationships/hyperlink" Target="https://librodeclientes.com/layout.php?page=client&amp;id=545" TargetMode="External"/><Relationship Id="rId455" Type="http://schemas.openxmlformats.org/officeDocument/2006/relationships/hyperlink" Target="https://librodeclientes.com/layout.php?page=client&amp;id=464" TargetMode="External"/><Relationship Id="rId697" Type="http://schemas.openxmlformats.org/officeDocument/2006/relationships/hyperlink" Target="https://librodeclientes.com/layout.php?page=client&amp;id=362" TargetMode="External"/><Relationship Id="rId212" Type="http://schemas.openxmlformats.org/officeDocument/2006/relationships/hyperlink" Target="https://librodeclientes.com/layout.php?page=client&amp;id=546" TargetMode="External"/><Relationship Id="rId454" Type="http://schemas.openxmlformats.org/officeDocument/2006/relationships/hyperlink" Target="https://librodeclientes.com/layout.php?page=client&amp;id=465" TargetMode="External"/><Relationship Id="rId696" Type="http://schemas.openxmlformats.org/officeDocument/2006/relationships/hyperlink" Target="https://librodeclientes.com/layout.php?page=client&amp;id=362" TargetMode="External"/><Relationship Id="rId211" Type="http://schemas.openxmlformats.org/officeDocument/2006/relationships/hyperlink" Target="https://librodeclientes.com/layout.php?page=client&amp;id=546" TargetMode="External"/><Relationship Id="rId453" Type="http://schemas.openxmlformats.org/officeDocument/2006/relationships/hyperlink" Target="https://librodeclientes.com/layout.php?page=client&amp;id=423" TargetMode="External"/><Relationship Id="rId695" Type="http://schemas.openxmlformats.org/officeDocument/2006/relationships/hyperlink" Target="https://librodeclientes.com/layout.php?page=client&amp;id=362" TargetMode="External"/><Relationship Id="rId210" Type="http://schemas.openxmlformats.org/officeDocument/2006/relationships/hyperlink" Target="https://librodeclientes.com/layout.php?page=client&amp;id=547" TargetMode="External"/><Relationship Id="rId452" Type="http://schemas.openxmlformats.org/officeDocument/2006/relationships/hyperlink" Target="https://librodeclientes.com/layout.php?page=client&amp;id=466" TargetMode="External"/><Relationship Id="rId694" Type="http://schemas.openxmlformats.org/officeDocument/2006/relationships/hyperlink" Target="https://librodeclientes.com/layout.php?page=client&amp;id=362" TargetMode="External"/><Relationship Id="rId491" Type="http://schemas.openxmlformats.org/officeDocument/2006/relationships/hyperlink" Target="https://librodeclientes.com/layout.php?page=client&amp;id=450" TargetMode="External"/><Relationship Id="rId490" Type="http://schemas.openxmlformats.org/officeDocument/2006/relationships/hyperlink" Target="https://librodeclientes.com/layout.php?page=client&amp;id=451" TargetMode="External"/><Relationship Id="rId249" Type="http://schemas.openxmlformats.org/officeDocument/2006/relationships/hyperlink" Target="https://librodeclientes.com/layout.php?page=client&amp;id=498" TargetMode="External"/><Relationship Id="rId248" Type="http://schemas.openxmlformats.org/officeDocument/2006/relationships/hyperlink" Target="https://librodeclientes.com/layout.php?page=client&amp;id=515" TargetMode="External"/><Relationship Id="rId247" Type="http://schemas.openxmlformats.org/officeDocument/2006/relationships/hyperlink" Target="https://librodeclientes.com/layout.php?page=client&amp;id=515" TargetMode="External"/><Relationship Id="rId489" Type="http://schemas.openxmlformats.org/officeDocument/2006/relationships/hyperlink" Target="https://librodeclientes.com/layout.php?page=client&amp;id=452" TargetMode="External"/><Relationship Id="rId242" Type="http://schemas.openxmlformats.org/officeDocument/2006/relationships/hyperlink" Target="https://librodeclientes.com/layout.php?page=client&amp;id=535" TargetMode="External"/><Relationship Id="rId484" Type="http://schemas.openxmlformats.org/officeDocument/2006/relationships/hyperlink" Target="https://librodeclientes.com/layout.php?page=client&amp;id=357" TargetMode="External"/><Relationship Id="rId241" Type="http://schemas.openxmlformats.org/officeDocument/2006/relationships/hyperlink" Target="https://librodeclientes.com/layout.php?page=client&amp;id=535" TargetMode="External"/><Relationship Id="rId483" Type="http://schemas.openxmlformats.org/officeDocument/2006/relationships/hyperlink" Target="https://librodeclientes.com/layout.php?page=client&amp;id=390" TargetMode="External"/><Relationship Id="rId240" Type="http://schemas.openxmlformats.org/officeDocument/2006/relationships/hyperlink" Target="https://librodeclientes.com/layout.php?page=client&amp;id=535" TargetMode="External"/><Relationship Id="rId482" Type="http://schemas.openxmlformats.org/officeDocument/2006/relationships/hyperlink" Target="https://librodeclientes.com/layout.php?page=client&amp;id=427" TargetMode="External"/><Relationship Id="rId481" Type="http://schemas.openxmlformats.org/officeDocument/2006/relationships/hyperlink" Target="https://librodeclientes.com/layout.php?page=client&amp;id=455" TargetMode="External"/><Relationship Id="rId246" Type="http://schemas.openxmlformats.org/officeDocument/2006/relationships/hyperlink" Target="https://librodeclientes.com/layout.php?page=client&amp;id=536" TargetMode="External"/><Relationship Id="rId488" Type="http://schemas.openxmlformats.org/officeDocument/2006/relationships/hyperlink" Target="https://librodeclientes.com/layout.php?page=client&amp;id=453" TargetMode="External"/><Relationship Id="rId245" Type="http://schemas.openxmlformats.org/officeDocument/2006/relationships/hyperlink" Target="https://librodeclientes.com/layout.php?page=client&amp;id=536" TargetMode="External"/><Relationship Id="rId487" Type="http://schemas.openxmlformats.org/officeDocument/2006/relationships/hyperlink" Target="https://librodeclientes.com/layout.php?page=client&amp;id=454" TargetMode="External"/><Relationship Id="rId244" Type="http://schemas.openxmlformats.org/officeDocument/2006/relationships/hyperlink" Target="https://librodeclientes.com/layout.php?page=client&amp;id=536" TargetMode="External"/><Relationship Id="rId486" Type="http://schemas.openxmlformats.org/officeDocument/2006/relationships/hyperlink" Target="https://librodeclientes.com/layout.php?page=client&amp;id=435" TargetMode="External"/><Relationship Id="rId243" Type="http://schemas.openxmlformats.org/officeDocument/2006/relationships/hyperlink" Target="https://librodeclientes.com/layout.php?page=client&amp;id=536" TargetMode="External"/><Relationship Id="rId485" Type="http://schemas.openxmlformats.org/officeDocument/2006/relationships/hyperlink" Target="https://librodeclientes.com/layout.php?page=client&amp;id=436" TargetMode="External"/><Relationship Id="rId480" Type="http://schemas.openxmlformats.org/officeDocument/2006/relationships/hyperlink" Target="https://librodeclientes.com/layout.php?page=client&amp;id=455" TargetMode="External"/><Relationship Id="rId239" Type="http://schemas.openxmlformats.org/officeDocument/2006/relationships/hyperlink" Target="https://librodeclientes.com/layout.php?page=client&amp;id=537" TargetMode="External"/><Relationship Id="rId238" Type="http://schemas.openxmlformats.org/officeDocument/2006/relationships/hyperlink" Target="https://librodeclientes.com/layout.php?page=client&amp;id=537" TargetMode="External"/><Relationship Id="rId237" Type="http://schemas.openxmlformats.org/officeDocument/2006/relationships/hyperlink" Target="https://librodeclientes.com/layout.php?page=client&amp;id=538" TargetMode="External"/><Relationship Id="rId479" Type="http://schemas.openxmlformats.org/officeDocument/2006/relationships/hyperlink" Target="https://librodeclientes.com/layout.php?page=client&amp;id=456" TargetMode="External"/><Relationship Id="rId236" Type="http://schemas.openxmlformats.org/officeDocument/2006/relationships/hyperlink" Target="https://librodeclientes.com/layout.php?page=client&amp;id=538" TargetMode="External"/><Relationship Id="rId478" Type="http://schemas.openxmlformats.org/officeDocument/2006/relationships/hyperlink" Target="https://librodeclientes.com/layout.php?page=client&amp;id=456" TargetMode="External"/><Relationship Id="rId231" Type="http://schemas.openxmlformats.org/officeDocument/2006/relationships/hyperlink" Target="https://librodeclientes.com/layout.php?page=client&amp;id=542" TargetMode="External"/><Relationship Id="rId473" Type="http://schemas.openxmlformats.org/officeDocument/2006/relationships/hyperlink" Target="https://librodeclientes.com/layout.php?page=client&amp;id=458" TargetMode="External"/><Relationship Id="rId230" Type="http://schemas.openxmlformats.org/officeDocument/2006/relationships/hyperlink" Target="https://librodeclientes.com/layout.php?page=client&amp;id=539" TargetMode="External"/><Relationship Id="rId472" Type="http://schemas.openxmlformats.org/officeDocument/2006/relationships/hyperlink" Target="https://librodeclientes.com/layout.php?page=client&amp;id=458" TargetMode="External"/><Relationship Id="rId471" Type="http://schemas.openxmlformats.org/officeDocument/2006/relationships/hyperlink" Target="https://librodeclientes.com/layout.php?page=client&amp;id=357" TargetMode="External"/><Relationship Id="rId470" Type="http://schemas.openxmlformats.org/officeDocument/2006/relationships/hyperlink" Target="https://librodeclientes.com/layout.php?page=client&amp;id=357" TargetMode="External"/><Relationship Id="rId235" Type="http://schemas.openxmlformats.org/officeDocument/2006/relationships/hyperlink" Target="https://librodeclientes.com/layout.php?page=client&amp;id=541" TargetMode="External"/><Relationship Id="rId477" Type="http://schemas.openxmlformats.org/officeDocument/2006/relationships/hyperlink" Target="https://librodeclientes.com/layout.php?page=client&amp;id=163" TargetMode="External"/><Relationship Id="rId234" Type="http://schemas.openxmlformats.org/officeDocument/2006/relationships/hyperlink" Target="https://librodeclientes.com/layout.php?page=client&amp;id=541" TargetMode="External"/><Relationship Id="rId476" Type="http://schemas.openxmlformats.org/officeDocument/2006/relationships/hyperlink" Target="https://librodeclientes.com/layout.php?page=client&amp;id=457" TargetMode="External"/><Relationship Id="rId233" Type="http://schemas.openxmlformats.org/officeDocument/2006/relationships/hyperlink" Target="https://librodeclientes.com/layout.php?page=client&amp;id=540" TargetMode="External"/><Relationship Id="rId475" Type="http://schemas.openxmlformats.org/officeDocument/2006/relationships/hyperlink" Target="https://librodeclientes.com/layout.php?page=client&amp;id=457" TargetMode="External"/><Relationship Id="rId232" Type="http://schemas.openxmlformats.org/officeDocument/2006/relationships/hyperlink" Target="https://librodeclientes.com/layout.php?page=client&amp;id=506" TargetMode="External"/><Relationship Id="rId474" Type="http://schemas.openxmlformats.org/officeDocument/2006/relationships/hyperlink" Target="https://librodeclientes.com/layout.php?page=client&amp;id=458" TargetMode="External"/><Relationship Id="rId426" Type="http://schemas.openxmlformats.org/officeDocument/2006/relationships/hyperlink" Target="https://librodeclientes.com/layout.php?page=client&amp;id=479" TargetMode="External"/><Relationship Id="rId668" Type="http://schemas.openxmlformats.org/officeDocument/2006/relationships/hyperlink" Target="https://librodeclientes.com/layout.php?page=client&amp;id=361" TargetMode="External"/><Relationship Id="rId425" Type="http://schemas.openxmlformats.org/officeDocument/2006/relationships/hyperlink" Target="https://librodeclientes.com/layout.php?page=client&amp;id=480" TargetMode="External"/><Relationship Id="rId667" Type="http://schemas.openxmlformats.org/officeDocument/2006/relationships/hyperlink" Target="https://librodeclientes.com/layout.php?page=client&amp;id=378" TargetMode="External"/><Relationship Id="rId424" Type="http://schemas.openxmlformats.org/officeDocument/2006/relationships/hyperlink" Target="https://librodeclientes.com/layout.php?page=client&amp;id=480" TargetMode="External"/><Relationship Id="rId666" Type="http://schemas.openxmlformats.org/officeDocument/2006/relationships/hyperlink" Target="https://librodeclientes.com/layout.php?page=client&amp;id=378" TargetMode="External"/><Relationship Id="rId423" Type="http://schemas.openxmlformats.org/officeDocument/2006/relationships/hyperlink" Target="https://librodeclientes.com/layout.php?page=client&amp;id=442" TargetMode="External"/><Relationship Id="rId665" Type="http://schemas.openxmlformats.org/officeDocument/2006/relationships/hyperlink" Target="https://librodeclientes.com/layout.php?page=client&amp;id=381" TargetMode="External"/><Relationship Id="rId429" Type="http://schemas.openxmlformats.org/officeDocument/2006/relationships/hyperlink" Target="https://librodeclientes.com/layout.php?page=client&amp;id=477" TargetMode="External"/><Relationship Id="rId428" Type="http://schemas.openxmlformats.org/officeDocument/2006/relationships/hyperlink" Target="https://librodeclientes.com/layout.php?page=client&amp;id=477" TargetMode="External"/><Relationship Id="rId427" Type="http://schemas.openxmlformats.org/officeDocument/2006/relationships/hyperlink" Target="https://librodeclientes.com/layout.php?page=client&amp;id=478" TargetMode="External"/><Relationship Id="rId669" Type="http://schemas.openxmlformats.org/officeDocument/2006/relationships/hyperlink" Target="https://librodeclientes.com/layout.php?page=client&amp;id=380" TargetMode="External"/><Relationship Id="rId660" Type="http://schemas.openxmlformats.org/officeDocument/2006/relationships/hyperlink" Target="https://librodeclientes.com/layout.php?page=client&amp;id=163" TargetMode="External"/><Relationship Id="rId422" Type="http://schemas.openxmlformats.org/officeDocument/2006/relationships/hyperlink" Target="https://librodeclientes.com/layout.php?page=client&amp;id=442" TargetMode="External"/><Relationship Id="rId664" Type="http://schemas.openxmlformats.org/officeDocument/2006/relationships/hyperlink" Target="https://librodeclientes.com/layout.php?page=client&amp;id=374" TargetMode="External"/><Relationship Id="rId421" Type="http://schemas.openxmlformats.org/officeDocument/2006/relationships/hyperlink" Target="https://librodeclientes.com/layout.php?page=client&amp;id=479" TargetMode="External"/><Relationship Id="rId663" Type="http://schemas.openxmlformats.org/officeDocument/2006/relationships/hyperlink" Target="https://librodeclientes.com/layout.php?page=client&amp;id=374" TargetMode="External"/><Relationship Id="rId420" Type="http://schemas.openxmlformats.org/officeDocument/2006/relationships/hyperlink" Target="https://librodeclientes.com/layout.php?page=client&amp;id=481" TargetMode="External"/><Relationship Id="rId662" Type="http://schemas.openxmlformats.org/officeDocument/2006/relationships/hyperlink" Target="https://librodeclientes.com/layout.php?page=client&amp;id=382" TargetMode="External"/><Relationship Id="rId661" Type="http://schemas.openxmlformats.org/officeDocument/2006/relationships/hyperlink" Target="https://librodeclientes.com/layout.php?page=client&amp;id=382" TargetMode="External"/><Relationship Id="rId1004" Type="http://schemas.openxmlformats.org/officeDocument/2006/relationships/hyperlink" Target="https://librodeclientes.com/layout.php?page=client&amp;id=127" TargetMode="External"/><Relationship Id="rId1005" Type="http://schemas.openxmlformats.org/officeDocument/2006/relationships/hyperlink" Target="https://librodeclientes.com/layout.php?page=client&amp;id=127" TargetMode="External"/><Relationship Id="rId1006" Type="http://schemas.openxmlformats.org/officeDocument/2006/relationships/drawing" Target="../drawings/drawing2.xml"/><Relationship Id="rId415" Type="http://schemas.openxmlformats.org/officeDocument/2006/relationships/hyperlink" Target="https://librodeclientes.com/layout.php?page=client&amp;id=484" TargetMode="External"/><Relationship Id="rId657" Type="http://schemas.openxmlformats.org/officeDocument/2006/relationships/hyperlink" Target="https://librodeclientes.com/layout.php?page=client&amp;id=358" TargetMode="External"/><Relationship Id="rId899" Type="http://schemas.openxmlformats.org/officeDocument/2006/relationships/hyperlink" Target="https://librodeclientes.com/layout.php?page=client&amp;id=167" TargetMode="External"/><Relationship Id="rId414" Type="http://schemas.openxmlformats.org/officeDocument/2006/relationships/hyperlink" Target="https://librodeclientes.com/layout.php?page=client&amp;id=485" TargetMode="External"/><Relationship Id="rId656" Type="http://schemas.openxmlformats.org/officeDocument/2006/relationships/hyperlink" Target="https://librodeclientes.com/layout.php?page=client&amp;id=207" TargetMode="External"/><Relationship Id="rId898" Type="http://schemas.openxmlformats.org/officeDocument/2006/relationships/hyperlink" Target="https://librodeclientes.com/layout.php?page=client&amp;id=167" TargetMode="External"/><Relationship Id="rId413" Type="http://schemas.openxmlformats.org/officeDocument/2006/relationships/hyperlink" Target="https://librodeclientes.com/layout.php?page=client&amp;id=485" TargetMode="External"/><Relationship Id="rId655" Type="http://schemas.openxmlformats.org/officeDocument/2006/relationships/hyperlink" Target="https://librodeclientes.com/layout.php?page=client&amp;id=207" TargetMode="External"/><Relationship Id="rId897" Type="http://schemas.openxmlformats.org/officeDocument/2006/relationships/hyperlink" Target="https://librodeclientes.com/layout.php?page=client&amp;id=168" TargetMode="External"/><Relationship Id="rId412" Type="http://schemas.openxmlformats.org/officeDocument/2006/relationships/hyperlink" Target="https://librodeclientes.com/layout.php?page=client&amp;id=485" TargetMode="External"/><Relationship Id="rId654" Type="http://schemas.openxmlformats.org/officeDocument/2006/relationships/hyperlink" Target="https://librodeclientes.com/layout.php?page=client&amp;id=208" TargetMode="External"/><Relationship Id="rId896" Type="http://schemas.openxmlformats.org/officeDocument/2006/relationships/hyperlink" Target="https://librodeclientes.com/layout.php?page=client&amp;id=169" TargetMode="External"/><Relationship Id="rId419" Type="http://schemas.openxmlformats.org/officeDocument/2006/relationships/hyperlink" Target="https://librodeclientes.com/layout.php?page=client&amp;id=481" TargetMode="External"/><Relationship Id="rId418" Type="http://schemas.openxmlformats.org/officeDocument/2006/relationships/hyperlink" Target="https://librodeclientes.com/layout.php?page=client&amp;id=482" TargetMode="External"/><Relationship Id="rId417" Type="http://schemas.openxmlformats.org/officeDocument/2006/relationships/hyperlink" Target="https://librodeclientes.com/layout.php?page=client&amp;id=483" TargetMode="External"/><Relationship Id="rId659" Type="http://schemas.openxmlformats.org/officeDocument/2006/relationships/hyperlink" Target="https://librodeclientes.com/layout.php?page=client&amp;id=163" TargetMode="External"/><Relationship Id="rId416" Type="http://schemas.openxmlformats.org/officeDocument/2006/relationships/hyperlink" Target="https://librodeclientes.com/layout.php?page=client&amp;id=483" TargetMode="External"/><Relationship Id="rId658" Type="http://schemas.openxmlformats.org/officeDocument/2006/relationships/hyperlink" Target="https://librodeclientes.com/layout.php?page=client&amp;id=163" TargetMode="External"/><Relationship Id="rId891" Type="http://schemas.openxmlformats.org/officeDocument/2006/relationships/hyperlink" Target="https://librodeclientes.com/layout.php?page=client&amp;id=172" TargetMode="External"/><Relationship Id="rId890" Type="http://schemas.openxmlformats.org/officeDocument/2006/relationships/hyperlink" Target="https://librodeclientes.com/layout.php?page=client&amp;id=172" TargetMode="External"/><Relationship Id="rId411" Type="http://schemas.openxmlformats.org/officeDocument/2006/relationships/hyperlink" Target="https://librodeclientes.com/layout.php?page=client&amp;id=485" TargetMode="External"/><Relationship Id="rId653" Type="http://schemas.openxmlformats.org/officeDocument/2006/relationships/hyperlink" Target="https://librodeclientes.com/layout.php?page=client&amp;id=219" TargetMode="External"/><Relationship Id="rId895" Type="http://schemas.openxmlformats.org/officeDocument/2006/relationships/hyperlink" Target="https://librodeclientes.com/layout.php?page=client&amp;id=169" TargetMode="External"/><Relationship Id="rId1000" Type="http://schemas.openxmlformats.org/officeDocument/2006/relationships/hyperlink" Target="https://librodeclientes.com/layout.php?page=client&amp;id=128" TargetMode="External"/><Relationship Id="rId410" Type="http://schemas.openxmlformats.org/officeDocument/2006/relationships/hyperlink" Target="https://librodeclientes.com/layout.php?page=client&amp;id=430" TargetMode="External"/><Relationship Id="rId652" Type="http://schemas.openxmlformats.org/officeDocument/2006/relationships/hyperlink" Target="https://librodeclientes.com/layout.php?page=client&amp;id=219" TargetMode="External"/><Relationship Id="rId894" Type="http://schemas.openxmlformats.org/officeDocument/2006/relationships/hyperlink" Target="https://librodeclientes.com/layout.php?page=client&amp;id=169" TargetMode="External"/><Relationship Id="rId1001" Type="http://schemas.openxmlformats.org/officeDocument/2006/relationships/hyperlink" Target="https://librodeclientes.com/layout.php?page=client&amp;id=128" TargetMode="External"/><Relationship Id="rId651" Type="http://schemas.openxmlformats.org/officeDocument/2006/relationships/hyperlink" Target="https://librodeclientes.com/layout.php?page=client&amp;id=164" TargetMode="External"/><Relationship Id="rId893" Type="http://schemas.openxmlformats.org/officeDocument/2006/relationships/hyperlink" Target="https://librodeclientes.com/layout.php?page=client&amp;id=170" TargetMode="External"/><Relationship Id="rId1002" Type="http://schemas.openxmlformats.org/officeDocument/2006/relationships/hyperlink" Target="https://librodeclientes.com/layout.php?page=client&amp;id=128" TargetMode="External"/><Relationship Id="rId650" Type="http://schemas.openxmlformats.org/officeDocument/2006/relationships/hyperlink" Target="https://librodeclientes.com/layout.php?page=client&amp;id=164" TargetMode="External"/><Relationship Id="rId892" Type="http://schemas.openxmlformats.org/officeDocument/2006/relationships/hyperlink" Target="https://librodeclientes.com/layout.php?page=client&amp;id=171" TargetMode="External"/><Relationship Id="rId1003" Type="http://schemas.openxmlformats.org/officeDocument/2006/relationships/hyperlink" Target="https://librodeclientes.com/layout.php?page=client&amp;id=127" TargetMode="External"/><Relationship Id="rId206" Type="http://schemas.openxmlformats.org/officeDocument/2006/relationships/hyperlink" Target="https://librodeclientes.com/layout.php?page=client&amp;id=442" TargetMode="External"/><Relationship Id="rId448" Type="http://schemas.openxmlformats.org/officeDocument/2006/relationships/hyperlink" Target="https://librodeclientes.com/layout.php?page=client&amp;id=468" TargetMode="External"/><Relationship Id="rId205" Type="http://schemas.openxmlformats.org/officeDocument/2006/relationships/hyperlink" Target="https://librodeclientes.com/layout.php?page=client&amp;id=537" TargetMode="External"/><Relationship Id="rId447" Type="http://schemas.openxmlformats.org/officeDocument/2006/relationships/hyperlink" Target="https://librodeclientes.com/layout.php?page=client&amp;id=469" TargetMode="External"/><Relationship Id="rId689" Type="http://schemas.openxmlformats.org/officeDocument/2006/relationships/hyperlink" Target="https://librodeclientes.com/layout.php?page=client&amp;id=175" TargetMode="External"/><Relationship Id="rId204" Type="http://schemas.openxmlformats.org/officeDocument/2006/relationships/hyperlink" Target="https://librodeclientes.com/layout.php?page=client&amp;id=540" TargetMode="External"/><Relationship Id="rId446" Type="http://schemas.openxmlformats.org/officeDocument/2006/relationships/hyperlink" Target="https://librodeclientes.com/layout.php?page=client&amp;id=471" TargetMode="External"/><Relationship Id="rId688" Type="http://schemas.openxmlformats.org/officeDocument/2006/relationships/hyperlink" Target="https://librodeclientes.com/layout.php?page=client&amp;id=175" TargetMode="External"/><Relationship Id="rId203" Type="http://schemas.openxmlformats.org/officeDocument/2006/relationships/hyperlink" Target="https://librodeclientes.com/layout.php?page=client&amp;id=257" TargetMode="External"/><Relationship Id="rId445" Type="http://schemas.openxmlformats.org/officeDocument/2006/relationships/hyperlink" Target="https://librodeclientes.com/layout.php?page=client&amp;id=471" TargetMode="External"/><Relationship Id="rId687" Type="http://schemas.openxmlformats.org/officeDocument/2006/relationships/hyperlink" Target="https://librodeclientes.com/layout.php?page=client&amp;id=375" TargetMode="External"/><Relationship Id="rId209" Type="http://schemas.openxmlformats.org/officeDocument/2006/relationships/hyperlink" Target="https://librodeclientes.com/layout.php?page=client&amp;id=548" TargetMode="External"/><Relationship Id="rId208" Type="http://schemas.openxmlformats.org/officeDocument/2006/relationships/hyperlink" Target="https://librodeclientes.com/layout.php?page=client&amp;id=542" TargetMode="External"/><Relationship Id="rId207" Type="http://schemas.openxmlformats.org/officeDocument/2006/relationships/hyperlink" Target="https://librodeclientes.com/layout.php?page=client&amp;id=550" TargetMode="External"/><Relationship Id="rId449" Type="http://schemas.openxmlformats.org/officeDocument/2006/relationships/hyperlink" Target="https://librodeclientes.com/layout.php?page=client&amp;id=468" TargetMode="External"/><Relationship Id="rId440" Type="http://schemas.openxmlformats.org/officeDocument/2006/relationships/hyperlink" Target="https://librodeclientes.com/layout.php?page=client&amp;id=357" TargetMode="External"/><Relationship Id="rId682" Type="http://schemas.openxmlformats.org/officeDocument/2006/relationships/hyperlink" Target="https://librodeclientes.com/layout.php?page=client&amp;id=212" TargetMode="External"/><Relationship Id="rId681" Type="http://schemas.openxmlformats.org/officeDocument/2006/relationships/hyperlink" Target="https://librodeclientes.com/layout.php?page=client&amp;id=212" TargetMode="External"/><Relationship Id="rId680" Type="http://schemas.openxmlformats.org/officeDocument/2006/relationships/hyperlink" Target="https://librodeclientes.com/layout.php?page=client&amp;id=179" TargetMode="External"/><Relationship Id="rId202" Type="http://schemas.openxmlformats.org/officeDocument/2006/relationships/hyperlink" Target="https://librodeclientes.com/layout.php?page=client&amp;id=257" TargetMode="External"/><Relationship Id="rId444" Type="http://schemas.openxmlformats.org/officeDocument/2006/relationships/hyperlink" Target="https://librodeclientes.com/layout.php?page=client&amp;id=472" TargetMode="External"/><Relationship Id="rId686" Type="http://schemas.openxmlformats.org/officeDocument/2006/relationships/hyperlink" Target="https://librodeclientes.com/layout.php?page=client&amp;id=375" TargetMode="External"/><Relationship Id="rId201" Type="http://schemas.openxmlformats.org/officeDocument/2006/relationships/hyperlink" Target="https://librodeclientes.com/layout.php?page=client&amp;id=551" TargetMode="External"/><Relationship Id="rId443" Type="http://schemas.openxmlformats.org/officeDocument/2006/relationships/hyperlink" Target="https://librodeclientes.com/layout.php?page=client&amp;id=473" TargetMode="External"/><Relationship Id="rId685" Type="http://schemas.openxmlformats.org/officeDocument/2006/relationships/hyperlink" Target="https://librodeclientes.com/layout.php?page=client&amp;id=375" TargetMode="External"/><Relationship Id="rId200" Type="http://schemas.openxmlformats.org/officeDocument/2006/relationships/hyperlink" Target="https://librodeclientes.com/layout.php?page=client&amp;id=551" TargetMode="External"/><Relationship Id="rId442" Type="http://schemas.openxmlformats.org/officeDocument/2006/relationships/hyperlink" Target="https://librodeclientes.com/layout.php?page=client&amp;id=473" TargetMode="External"/><Relationship Id="rId684" Type="http://schemas.openxmlformats.org/officeDocument/2006/relationships/hyperlink" Target="https://librodeclientes.com/layout.php?page=client&amp;id=375" TargetMode="External"/><Relationship Id="rId441" Type="http://schemas.openxmlformats.org/officeDocument/2006/relationships/hyperlink" Target="https://librodeclientes.com/layout.php?page=client&amp;id=357" TargetMode="External"/><Relationship Id="rId683" Type="http://schemas.openxmlformats.org/officeDocument/2006/relationships/hyperlink" Target="https://librodeclientes.com/layout.php?page=client&amp;id=375" TargetMode="External"/><Relationship Id="rId437" Type="http://schemas.openxmlformats.org/officeDocument/2006/relationships/hyperlink" Target="https://librodeclientes.com/layout.php?page=client&amp;id=470" TargetMode="External"/><Relationship Id="rId679" Type="http://schemas.openxmlformats.org/officeDocument/2006/relationships/hyperlink" Target="https://librodeclientes.com/layout.php?page=client&amp;id=179" TargetMode="External"/><Relationship Id="rId436" Type="http://schemas.openxmlformats.org/officeDocument/2006/relationships/hyperlink" Target="https://librodeclientes.com/layout.php?page=client&amp;id=470" TargetMode="External"/><Relationship Id="rId678" Type="http://schemas.openxmlformats.org/officeDocument/2006/relationships/hyperlink" Target="https://librodeclientes.com/layout.php?page=client&amp;id=222" TargetMode="External"/><Relationship Id="rId435" Type="http://schemas.openxmlformats.org/officeDocument/2006/relationships/hyperlink" Target="https://librodeclientes.com/layout.php?page=client&amp;id=470" TargetMode="External"/><Relationship Id="rId677" Type="http://schemas.openxmlformats.org/officeDocument/2006/relationships/hyperlink" Target="https://librodeclientes.com/layout.php?page=client&amp;id=374" TargetMode="External"/><Relationship Id="rId434" Type="http://schemas.openxmlformats.org/officeDocument/2006/relationships/hyperlink" Target="https://librodeclientes.com/layout.php?page=client&amp;id=476" TargetMode="External"/><Relationship Id="rId676" Type="http://schemas.openxmlformats.org/officeDocument/2006/relationships/hyperlink" Target="https://librodeclientes.com/layout.php?page=client&amp;id=374" TargetMode="External"/><Relationship Id="rId439" Type="http://schemas.openxmlformats.org/officeDocument/2006/relationships/hyperlink" Target="https://librodeclientes.com/layout.php?page=client&amp;id=474" TargetMode="External"/><Relationship Id="rId438" Type="http://schemas.openxmlformats.org/officeDocument/2006/relationships/hyperlink" Target="https://librodeclientes.com/layout.php?page=client&amp;id=475" TargetMode="External"/><Relationship Id="rId671" Type="http://schemas.openxmlformats.org/officeDocument/2006/relationships/hyperlink" Target="https://librodeclientes.com/layout.php?page=client&amp;id=379" TargetMode="External"/><Relationship Id="rId670" Type="http://schemas.openxmlformats.org/officeDocument/2006/relationships/hyperlink" Target="https://librodeclientes.com/layout.php?page=client&amp;id=379" TargetMode="External"/><Relationship Id="rId433" Type="http://schemas.openxmlformats.org/officeDocument/2006/relationships/hyperlink" Target="https://librodeclientes.com/layout.php?page=client&amp;id=476" TargetMode="External"/><Relationship Id="rId675" Type="http://schemas.openxmlformats.org/officeDocument/2006/relationships/hyperlink" Target="https://librodeclientes.com/layout.php?page=client&amp;id=374" TargetMode="External"/><Relationship Id="rId432" Type="http://schemas.openxmlformats.org/officeDocument/2006/relationships/hyperlink" Target="https://librodeclientes.com/layout.php?page=client&amp;id=476" TargetMode="External"/><Relationship Id="rId674" Type="http://schemas.openxmlformats.org/officeDocument/2006/relationships/hyperlink" Target="https://librodeclientes.com/layout.php?page=client&amp;id=377" TargetMode="External"/><Relationship Id="rId431" Type="http://schemas.openxmlformats.org/officeDocument/2006/relationships/hyperlink" Target="https://librodeclientes.com/layout.php?page=client&amp;id=476" TargetMode="External"/><Relationship Id="rId673" Type="http://schemas.openxmlformats.org/officeDocument/2006/relationships/hyperlink" Target="https://librodeclientes.com/layout.php?page=client&amp;id=377" TargetMode="External"/><Relationship Id="rId430" Type="http://schemas.openxmlformats.org/officeDocument/2006/relationships/hyperlink" Target="https://librodeclientes.com/layout.php?page=client&amp;id=212" TargetMode="External"/><Relationship Id="rId672" Type="http://schemas.openxmlformats.org/officeDocument/2006/relationships/hyperlink" Target="https://librodeclientes.com/layout.php?page=client&amp;id=1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46.75"/>
    <col customWidth="1" min="3" max="3" width="22.25"/>
    <col customWidth="1" min="4" max="4" width="29.75"/>
    <col customWidth="1" min="5" max="5" width="39.25"/>
  </cols>
  <sheetData>
    <row r="1">
      <c r="A1" s="1" t="s">
        <v>0</v>
      </c>
      <c r="B1" s="1" t="s">
        <v>2</v>
      </c>
      <c r="C1" s="2" t="str">
        <f>+507 6216-4710/PANAMA</f>
        <v>#ERROR!</v>
      </c>
      <c r="D1" s="2"/>
      <c r="E1" s="1" t="s">
        <v>3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>
        <v>1.60464442E8</v>
      </c>
      <c r="B2" s="1" t="s">
        <v>8</v>
      </c>
      <c r="C2" s="2" t="str">
        <f>+507 6811-7578/PANAMAMA</f>
        <v>#ERROR!</v>
      </c>
      <c r="D2" s="2"/>
      <c r="E2" s="1" t="s">
        <v>3</v>
      </c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12</v>
      </c>
      <c r="B3" s="1" t="s">
        <v>13</v>
      </c>
      <c r="C3" s="2" t="str">
        <f>+507 6305-6663/PANAMA</f>
        <v>#ERROR!</v>
      </c>
      <c r="D3" s="2"/>
      <c r="E3" s="1" t="s">
        <v>3</v>
      </c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>
        <v>2.3072026E7</v>
      </c>
      <c r="B4" s="1" t="s">
        <v>16</v>
      </c>
      <c r="C4" s="1">
        <v>5.455265846665E12</v>
      </c>
      <c r="D4" s="1" t="s">
        <v>18</v>
      </c>
      <c r="E4" s="2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>
        <v>1.014736293E9</v>
      </c>
      <c r="B5" s="1" t="s">
        <v>20</v>
      </c>
      <c r="C5" s="1">
        <v>3.04488819E8</v>
      </c>
      <c r="D5" s="1" t="s">
        <v>22</v>
      </c>
      <c r="E5" s="1" t="s">
        <v>23</v>
      </c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25</v>
      </c>
      <c r="B6" s="1" t="s">
        <v>26</v>
      </c>
      <c r="C6" s="1">
        <v>6.7475027E7</v>
      </c>
      <c r="D6" s="1" t="s">
        <v>28</v>
      </c>
      <c r="E6" s="1" t="s">
        <v>29</v>
      </c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>
        <v>1807129.0</v>
      </c>
      <c r="B7" s="1" t="s">
        <v>30</v>
      </c>
      <c r="C7" s="1">
        <v>1.42647821E8</v>
      </c>
      <c r="D7" s="1" t="s">
        <v>32</v>
      </c>
      <c r="E7" s="2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 t="s">
        <v>33</v>
      </c>
      <c r="B8" s="1" t="s">
        <v>34</v>
      </c>
      <c r="C8" s="1">
        <v>6.7806491E7</v>
      </c>
      <c r="D8" s="2"/>
      <c r="E8" s="2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>
        <v>4785662.0</v>
      </c>
      <c r="B9" s="1" t="s">
        <v>37</v>
      </c>
      <c r="C9" s="1">
        <v>6.2432462E7</v>
      </c>
      <c r="D9" s="1" t="s">
        <v>39</v>
      </c>
      <c r="E9" s="2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 t="s">
        <v>40</v>
      </c>
      <c r="B10" s="1" t="s">
        <v>41</v>
      </c>
      <c r="C10" s="1">
        <v>6795350.0</v>
      </c>
      <c r="D10" s="1" t="s">
        <v>43</v>
      </c>
      <c r="E10" s="2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>
        <v>1.545258254E9</v>
      </c>
      <c r="B11" s="1" t="s">
        <v>45</v>
      </c>
      <c r="C11" s="1">
        <v>1.1251324885E10</v>
      </c>
      <c r="D11" s="1" t="s">
        <v>46</v>
      </c>
      <c r="E11" s="2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>
        <v>7188062.0</v>
      </c>
      <c r="B12" s="1" t="s">
        <v>47</v>
      </c>
      <c r="C12" s="1">
        <v>3.125485422E9</v>
      </c>
      <c r="D12" s="1" t="s">
        <v>22</v>
      </c>
      <c r="E12" s="1" t="s">
        <v>48</v>
      </c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 t="s">
        <v>50</v>
      </c>
      <c r="B13" s="1" t="s">
        <v>51</v>
      </c>
      <c r="C13" s="2" t="str">
        <f>+507 6524-4526</f>
        <v>#ERROR!</v>
      </c>
      <c r="D13" s="2"/>
      <c r="E13" s="1" t="s">
        <v>3</v>
      </c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53</v>
      </c>
      <c r="B14" s="1" t="s">
        <v>54</v>
      </c>
      <c r="C14" s="2" t="str">
        <f>+507 6524-8423/PANAMA</f>
        <v>#ERROR!</v>
      </c>
      <c r="D14" s="2"/>
      <c r="E14" s="1" t="s">
        <v>3</v>
      </c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 t="s">
        <v>56</v>
      </c>
      <c r="B15" s="1" t="s">
        <v>57</v>
      </c>
      <c r="C15" s="2" t="str">
        <f>+5076494-3955/PANAMA</f>
        <v>#NAME?</v>
      </c>
      <c r="D15" s="2"/>
      <c r="E15" s="1" t="s">
        <v>3</v>
      </c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 t="s">
        <v>59</v>
      </c>
      <c r="B16" s="1" t="s">
        <v>60</v>
      </c>
      <c r="C16" s="2" t="str">
        <f>+576896-7692/PANAMA</f>
        <v>#NAME?</v>
      </c>
      <c r="D16" s="2"/>
      <c r="E16" s="1" t="s">
        <v>3</v>
      </c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 t="s">
        <v>62</v>
      </c>
      <c r="B17" s="1" t="s">
        <v>63</v>
      </c>
      <c r="C17" s="2" t="str">
        <f>+507 6151-8752/PANAMA</f>
        <v>#ERROR!</v>
      </c>
      <c r="D17" s="2"/>
      <c r="E17" s="1" t="s">
        <v>3</v>
      </c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 t="s">
        <v>67</v>
      </c>
      <c r="B18" s="1" t="s">
        <v>68</v>
      </c>
      <c r="C18" s="2" t="str">
        <f>+507 6349-5766/PANAMAMA</f>
        <v>#ERROR!</v>
      </c>
      <c r="D18" s="2"/>
      <c r="E18" s="1" t="s">
        <v>3</v>
      </c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70</v>
      </c>
      <c r="B19" s="1" t="s">
        <v>71</v>
      </c>
      <c r="C19" s="2" t="str">
        <f>+507 6982-9628/PANAMA</f>
        <v>#ERROR!</v>
      </c>
      <c r="D19" s="2"/>
      <c r="E19" s="1" t="s">
        <v>3</v>
      </c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 t="s">
        <v>75</v>
      </c>
      <c r="B20" s="1" t="s">
        <v>76</v>
      </c>
      <c r="C20" s="2" t="str">
        <f>+507 6893-9838/PANAMA</f>
        <v>#ERROR!</v>
      </c>
      <c r="D20" s="2"/>
      <c r="E20" s="1" t="s">
        <v>3</v>
      </c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" t="s">
        <v>78</v>
      </c>
      <c r="B21" s="1" t="s">
        <v>79</v>
      </c>
      <c r="C21" s="1" t="s">
        <v>80</v>
      </c>
      <c r="D21" s="1" t="s">
        <v>78</v>
      </c>
      <c r="E21" s="1" t="s">
        <v>81</v>
      </c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" t="s">
        <v>83</v>
      </c>
      <c r="B22" s="1" t="s">
        <v>84</v>
      </c>
      <c r="C22" s="2" t="str">
        <f>+5076493-663/PANAMA</f>
        <v>#NAME?</v>
      </c>
      <c r="D22" s="2"/>
      <c r="E22" s="1" t="s">
        <v>3</v>
      </c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">
        <v>8.0928007E7</v>
      </c>
      <c r="B23" s="1" t="s">
        <v>87</v>
      </c>
      <c r="C23" s="2" t="str">
        <f>+573214370129/COLOMBIA</f>
        <v>#NAME?</v>
      </c>
      <c r="D23" s="2"/>
      <c r="E23" s="1" t="s">
        <v>89</v>
      </c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">
        <v>177403.0</v>
      </c>
      <c r="B24" s="1" t="s">
        <v>90</v>
      </c>
      <c r="C24" s="1">
        <v>3.103499311E9</v>
      </c>
      <c r="D24" s="1" t="s">
        <v>92</v>
      </c>
      <c r="E24" s="1" t="s">
        <v>93</v>
      </c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">
        <v>2.0062026E7</v>
      </c>
      <c r="B25" s="1" t="s">
        <v>95</v>
      </c>
      <c r="C25" s="1">
        <v>5.213362458E9</v>
      </c>
      <c r="D25" s="2"/>
      <c r="E25" s="2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">
        <v>1.9062026E7</v>
      </c>
      <c r="B26" s="1" t="s">
        <v>97</v>
      </c>
      <c r="C26" s="1">
        <v>1.906202654884E12</v>
      </c>
      <c r="D26" s="2"/>
      <c r="E26" s="2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">
        <v>1.00725873E9</v>
      </c>
      <c r="B27" s="1" t="s">
        <v>100</v>
      </c>
      <c r="C27" s="1">
        <v>3.005910134E9</v>
      </c>
      <c r="D27" s="1" t="s">
        <v>101</v>
      </c>
      <c r="E27" s="1" t="s">
        <v>102</v>
      </c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" t="s">
        <v>105</v>
      </c>
      <c r="B28" s="1" t="s">
        <v>106</v>
      </c>
      <c r="C28" s="1">
        <v>2151912.0</v>
      </c>
      <c r="D28" s="10" t="s">
        <v>107</v>
      </c>
      <c r="E28" s="1" t="s">
        <v>109</v>
      </c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">
        <v>8312830.0</v>
      </c>
      <c r="B29" s="1" t="s">
        <v>111</v>
      </c>
      <c r="C29" s="1">
        <v>2151912.0</v>
      </c>
      <c r="D29" s="2"/>
      <c r="E29" s="1" t="s">
        <v>112</v>
      </c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" t="s">
        <v>114</v>
      </c>
      <c r="B30" s="1" t="s">
        <v>115</v>
      </c>
      <c r="C30" s="1" t="s">
        <v>116</v>
      </c>
      <c r="D30" s="1" t="s">
        <v>117</v>
      </c>
      <c r="E30" s="2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" t="s">
        <v>119</v>
      </c>
      <c r="B31" s="1" t="s">
        <v>120</v>
      </c>
      <c r="C31" s="1">
        <v>6.5627546E7</v>
      </c>
      <c r="D31" s="1" t="s">
        <v>121</v>
      </c>
      <c r="E31" s="1" t="s">
        <v>122</v>
      </c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">
        <v>9.6143242E7</v>
      </c>
      <c r="B32" s="1" t="s">
        <v>124</v>
      </c>
      <c r="C32" s="1">
        <v>6.6404153E7</v>
      </c>
      <c r="D32" s="1" t="s">
        <v>125</v>
      </c>
      <c r="E32" s="2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">
        <v>4.6143242E7</v>
      </c>
      <c r="B33" s="1" t="s">
        <v>126</v>
      </c>
      <c r="C33" s="2" t="str">
        <f>+50766404153/PANAMA</f>
        <v>#NAME?</v>
      </c>
      <c r="D33" s="2"/>
      <c r="E33" s="1" t="s">
        <v>3</v>
      </c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">
        <v>8.0774686E7</v>
      </c>
      <c r="B34" s="1" t="s">
        <v>130</v>
      </c>
      <c r="C34" s="1">
        <v>3.3213531442E10</v>
      </c>
      <c r="D34" s="1" t="s">
        <v>131</v>
      </c>
      <c r="E34" s="1" t="s">
        <v>132</v>
      </c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">
        <v>2.6052026E7</v>
      </c>
      <c r="B35" s="1" t="s">
        <v>134</v>
      </c>
      <c r="C35" s="1">
        <v>3.125469785E9</v>
      </c>
      <c r="D35" s="1" t="s">
        <v>135</v>
      </c>
      <c r="E35" s="2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">
        <v>2.5052026E7</v>
      </c>
      <c r="B36" s="1" t="s">
        <v>137</v>
      </c>
      <c r="C36" s="1">
        <v>3.102546854E9</v>
      </c>
      <c r="D36" s="1" t="s">
        <v>138</v>
      </c>
      <c r="E36" s="2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" t="s">
        <v>140</v>
      </c>
      <c r="B37" s="1" t="s">
        <v>141</v>
      </c>
      <c r="C37" s="2" t="str">
        <f>+507 6758-7225/PANAMA</f>
        <v>#ERROR!</v>
      </c>
      <c r="D37" s="2"/>
      <c r="E37" s="1" t="s">
        <v>142</v>
      </c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" t="s">
        <v>144</v>
      </c>
      <c r="B38" s="1" t="s">
        <v>145</v>
      </c>
      <c r="C38" s="1" t="s">
        <v>146</v>
      </c>
      <c r="D38" s="2"/>
      <c r="E38" s="1" t="s">
        <v>147</v>
      </c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" t="s">
        <v>149</v>
      </c>
      <c r="B39" s="1" t="s">
        <v>150</v>
      </c>
      <c r="C39" s="1" t="s">
        <v>151</v>
      </c>
      <c r="D39" s="2"/>
      <c r="E39" s="1" t="s">
        <v>152</v>
      </c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" t="s">
        <v>155</v>
      </c>
      <c r="B40" s="1" t="s">
        <v>156</v>
      </c>
      <c r="C40" s="1" t="s">
        <v>157</v>
      </c>
      <c r="D40" s="2"/>
      <c r="E40" s="1" t="s">
        <v>158</v>
      </c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" t="s">
        <v>160</v>
      </c>
      <c r="B41" s="1" t="s">
        <v>161</v>
      </c>
      <c r="C41" s="1" t="s">
        <v>162</v>
      </c>
      <c r="D41" s="2"/>
      <c r="E41" s="1" t="s">
        <v>163</v>
      </c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" t="s">
        <v>165</v>
      </c>
      <c r="B42" s="1" t="s">
        <v>166</v>
      </c>
      <c r="C42" s="2" t="str">
        <f>+507 63138242</f>
        <v>#ERROR!</v>
      </c>
      <c r="D42" s="2"/>
      <c r="E42" s="1" t="s">
        <v>167</v>
      </c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">
        <v>1105202.0</v>
      </c>
      <c r="B43" s="1" t="s">
        <v>169</v>
      </c>
      <c r="C43" s="1">
        <v>3.165347602E9</v>
      </c>
      <c r="D43" s="1" t="s">
        <v>170</v>
      </c>
      <c r="E43" s="1" t="s">
        <v>171</v>
      </c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">
        <v>1.000522466E9</v>
      </c>
      <c r="B44" s="1" t="s">
        <v>173</v>
      </c>
      <c r="C44" s="1">
        <v>3.13287556E9</v>
      </c>
      <c r="D44" s="1" t="s">
        <v>175</v>
      </c>
      <c r="E44" s="1" t="s">
        <v>176</v>
      </c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">
        <v>8.0228689E7</v>
      </c>
      <c r="B45" s="1" t="s">
        <v>177</v>
      </c>
      <c r="C45" s="1">
        <v>5.73150577666E11</v>
      </c>
      <c r="D45" s="1" t="s">
        <v>178</v>
      </c>
      <c r="E45" s="1" t="s">
        <v>179</v>
      </c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" t="s">
        <v>181</v>
      </c>
      <c r="B46" s="1" t="s">
        <v>182</v>
      </c>
      <c r="C46" s="2" t="str">
        <f>+5076618-7502/PANAMA</f>
        <v>#NAME?</v>
      </c>
      <c r="D46" s="2"/>
      <c r="E46" s="1" t="s">
        <v>3</v>
      </c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" t="s">
        <v>185</v>
      </c>
      <c r="B47" s="1" t="s">
        <v>186</v>
      </c>
      <c r="C47" s="2" t="str">
        <f>+5076472-9648/PANAMA</f>
        <v>#NAME?</v>
      </c>
      <c r="D47" s="2"/>
      <c r="E47" s="1" t="s">
        <v>3</v>
      </c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" t="s">
        <v>188</v>
      </c>
      <c r="B48" s="1" t="s">
        <v>189</v>
      </c>
      <c r="C48" s="2" t="str">
        <f>+50768144100/PANAMA</f>
        <v>#NAME?</v>
      </c>
      <c r="D48" s="2"/>
      <c r="E48" s="1" t="s">
        <v>3</v>
      </c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">
        <v>1.25486325E8</v>
      </c>
      <c r="B49" s="1" t="s">
        <v>191</v>
      </c>
      <c r="C49" s="1">
        <v>3.5412586E7</v>
      </c>
      <c r="D49" s="1" t="s">
        <v>192</v>
      </c>
      <c r="E49" s="2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">
        <v>1.8347585E7</v>
      </c>
      <c r="B50" s="1" t="s">
        <v>195</v>
      </c>
      <c r="C50" s="1">
        <v>6.11360003E8</v>
      </c>
      <c r="D50" s="1" t="s">
        <v>196</v>
      </c>
      <c r="E50" s="1" t="s">
        <v>197</v>
      </c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" t="s">
        <v>200</v>
      </c>
      <c r="B51" s="1" t="s">
        <v>201</v>
      </c>
      <c r="C51" s="1">
        <v>6.4624297E7</v>
      </c>
      <c r="D51" s="1" t="s">
        <v>202</v>
      </c>
      <c r="E51" s="1" t="s">
        <v>197</v>
      </c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" t="s">
        <v>203</v>
      </c>
      <c r="B52" s="1" t="s">
        <v>204</v>
      </c>
      <c r="C52" s="1" t="s">
        <v>205</v>
      </c>
      <c r="D52" s="1" t="s">
        <v>207</v>
      </c>
      <c r="E52" s="1" t="s">
        <v>208</v>
      </c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" t="s">
        <v>209</v>
      </c>
      <c r="B53" s="1" t="s">
        <v>210</v>
      </c>
      <c r="C53" s="1" t="s">
        <v>211</v>
      </c>
      <c r="D53" s="1" t="s">
        <v>212</v>
      </c>
      <c r="E53" s="1" t="s">
        <v>214</v>
      </c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" t="s">
        <v>217</v>
      </c>
      <c r="B54" s="1" t="s">
        <v>218</v>
      </c>
      <c r="C54" s="1" t="s">
        <v>219</v>
      </c>
      <c r="D54" s="1" t="s">
        <v>221</v>
      </c>
      <c r="E54" s="1" t="s">
        <v>222</v>
      </c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">
        <v>1.066879273E9</v>
      </c>
      <c r="B55" s="1" t="s">
        <v>224</v>
      </c>
      <c r="C55" s="2" t="str">
        <f>+573184155426/COL</f>
        <v>#NAME?</v>
      </c>
      <c r="D55" s="2"/>
      <c r="E55" s="1" t="s">
        <v>89</v>
      </c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" t="s">
        <v>227</v>
      </c>
      <c r="B56" s="1" t="s">
        <v>228</v>
      </c>
      <c r="C56" s="2" t="str">
        <f>+5076670-1021/PA</f>
        <v>#NAME?</v>
      </c>
      <c r="D56" s="2" t="str">
        <f>+50766701021/</f>
        <v>#ERROR!</v>
      </c>
      <c r="E56" s="1" t="s">
        <v>3</v>
      </c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1" t="s">
        <v>231</v>
      </c>
      <c r="B57" s="1" t="s">
        <v>232</v>
      </c>
      <c r="C57" s="2" t="str">
        <f>+5076679-9741/</f>
        <v>#ERROR!</v>
      </c>
      <c r="D57" s="2"/>
      <c r="E57" s="1" t="s">
        <v>3</v>
      </c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" t="s">
        <v>234</v>
      </c>
      <c r="B58" s="1" t="s">
        <v>235</v>
      </c>
      <c r="C58" s="2" t="str">
        <f>+5076555-9350/PANAMA</f>
        <v>#NAME?</v>
      </c>
      <c r="D58" s="2"/>
      <c r="E58" s="1" t="s">
        <v>3</v>
      </c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" t="s">
        <v>237</v>
      </c>
      <c r="B59" s="1" t="s">
        <v>238</v>
      </c>
      <c r="C59" s="2" t="str">
        <f>+50765653025/PANAMA</f>
        <v>#NAME?</v>
      </c>
      <c r="D59" s="2"/>
      <c r="E59" s="1" t="s">
        <v>3</v>
      </c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">
        <v>3.0042026E7</v>
      </c>
      <c r="B60" s="1" t="s">
        <v>241</v>
      </c>
      <c r="C60" s="1">
        <v>3254896.0</v>
      </c>
      <c r="D60" s="1" t="s">
        <v>243</v>
      </c>
      <c r="E60" s="1" t="s">
        <v>244</v>
      </c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">
        <v>3.1032026E7</v>
      </c>
      <c r="B61" s="1" t="s">
        <v>247</v>
      </c>
      <c r="C61" s="1">
        <v>6.4146134E7</v>
      </c>
      <c r="D61" s="2"/>
      <c r="E61" s="1" t="s">
        <v>171</v>
      </c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" t="s">
        <v>250</v>
      </c>
      <c r="B62" s="1" t="s">
        <v>251</v>
      </c>
      <c r="C62" s="1">
        <v>3886687.0</v>
      </c>
      <c r="D62" s="1" t="s">
        <v>252</v>
      </c>
      <c r="E62" s="2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" t="s">
        <v>254</v>
      </c>
      <c r="B63" s="1" t="s">
        <v>255</v>
      </c>
      <c r="C63" s="1">
        <v>3997152.0</v>
      </c>
      <c r="D63" s="1" t="s">
        <v>256</v>
      </c>
      <c r="E63" s="1" t="s">
        <v>257</v>
      </c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" t="s">
        <v>259</v>
      </c>
      <c r="B64" s="1" t="s">
        <v>261</v>
      </c>
      <c r="C64" s="1" t="s">
        <v>262</v>
      </c>
      <c r="D64" s="1" t="s">
        <v>263</v>
      </c>
      <c r="E64" s="1" t="s">
        <v>264</v>
      </c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" t="s">
        <v>266</v>
      </c>
      <c r="B65" s="1" t="s">
        <v>267</v>
      </c>
      <c r="C65" s="1" t="s">
        <v>268</v>
      </c>
      <c r="D65" s="1" t="s">
        <v>269</v>
      </c>
      <c r="E65" s="1" t="s">
        <v>270</v>
      </c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" t="s">
        <v>272</v>
      </c>
      <c r="B66" s="1" t="s">
        <v>273</v>
      </c>
      <c r="C66" s="1">
        <v>6.6163396E7</v>
      </c>
      <c r="D66" s="2"/>
      <c r="E66" s="1" t="s">
        <v>275</v>
      </c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" t="s">
        <v>277</v>
      </c>
      <c r="B67" s="1" t="s">
        <v>278</v>
      </c>
      <c r="C67" s="1">
        <v>3905113.0</v>
      </c>
      <c r="D67" s="1" t="s">
        <v>279</v>
      </c>
      <c r="E67" s="1" t="s">
        <v>280</v>
      </c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">
        <v>1.8032026E7</v>
      </c>
      <c r="B68" s="1" t="s">
        <v>282</v>
      </c>
      <c r="C68" s="1">
        <v>3.118524865E9</v>
      </c>
      <c r="D68" s="1" t="s">
        <v>283</v>
      </c>
      <c r="E68" s="1" t="s">
        <v>171</v>
      </c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">
        <v>1.4032025E7</v>
      </c>
      <c r="B69" s="1" t="s">
        <v>286</v>
      </c>
      <c r="C69" s="1">
        <v>1.40320226E8</v>
      </c>
      <c r="D69" s="1" t="s">
        <v>287</v>
      </c>
      <c r="E69" s="1" t="s">
        <v>171</v>
      </c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">
        <v>1.01017796E9</v>
      </c>
      <c r="B70" s="1" t="s">
        <v>290</v>
      </c>
      <c r="C70" s="1">
        <v>3.106650705E9</v>
      </c>
      <c r="D70" s="1" t="s">
        <v>291</v>
      </c>
      <c r="E70" s="1" t="s">
        <v>171</v>
      </c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" t="s">
        <v>293</v>
      </c>
      <c r="B71" s="1" t="s">
        <v>294</v>
      </c>
      <c r="C71" s="1">
        <v>6.6180333E7</v>
      </c>
      <c r="D71" s="2"/>
      <c r="E71" s="1" t="s">
        <v>295</v>
      </c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">
        <v>8.0159821E7</v>
      </c>
      <c r="B72" s="1" t="s">
        <v>297</v>
      </c>
      <c r="C72" s="2" t="str">
        <f>+573208365082/BOGOTA</f>
        <v>#NAME?</v>
      </c>
      <c r="D72" s="2"/>
      <c r="E72" s="1" t="s">
        <v>299</v>
      </c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">
        <v>3.102417062E9</v>
      </c>
      <c r="B73" s="1" t="s">
        <v>301</v>
      </c>
      <c r="C73" s="2" t="str">
        <f>+573102417062/BOGOTA</f>
        <v>#NAME?</v>
      </c>
      <c r="D73" s="2"/>
      <c r="E73" s="1" t="s">
        <v>299</v>
      </c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" t="s">
        <v>304</v>
      </c>
      <c r="B74" s="1" t="s">
        <v>305</v>
      </c>
      <c r="C74" s="1">
        <v>6.6947171E7</v>
      </c>
      <c r="D74" s="1" t="s">
        <v>306</v>
      </c>
      <c r="E74" s="1" t="s">
        <v>307</v>
      </c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" t="s">
        <v>309</v>
      </c>
      <c r="B75" s="1" t="s">
        <v>310</v>
      </c>
      <c r="C75" s="1" t="s">
        <v>311</v>
      </c>
      <c r="D75" s="1" t="s">
        <v>312</v>
      </c>
      <c r="E75" s="1" t="s">
        <v>313</v>
      </c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" t="s">
        <v>315</v>
      </c>
      <c r="B76" s="1" t="s">
        <v>316</v>
      </c>
      <c r="C76" s="1" t="s">
        <v>317</v>
      </c>
      <c r="D76" s="1" t="s">
        <v>318</v>
      </c>
      <c r="E76" s="1" t="s">
        <v>319</v>
      </c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">
        <v>6.5447386E7</v>
      </c>
      <c r="B77" s="1" t="s">
        <v>321</v>
      </c>
      <c r="C77" s="2" t="str">
        <f>+50765447386/PANAMA</f>
        <v>#NAME?</v>
      </c>
      <c r="D77" s="2"/>
      <c r="E77" s="1" t="s">
        <v>3</v>
      </c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">
        <v>7.9972166E7</v>
      </c>
      <c r="B78" s="1" t="s">
        <v>324</v>
      </c>
      <c r="C78" s="2" t="str">
        <f>+573203126841/BOGOTA</f>
        <v>#NAME?</v>
      </c>
      <c r="D78" s="2"/>
      <c r="E78" s="1" t="s">
        <v>299</v>
      </c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" t="s">
        <v>327</v>
      </c>
      <c r="B79" s="1" t="s">
        <v>328</v>
      </c>
      <c r="C79" s="1">
        <v>6.4146134E7</v>
      </c>
      <c r="D79" s="1" t="s">
        <v>329</v>
      </c>
      <c r="E79" s="2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">
        <v>1.5421541544E10</v>
      </c>
      <c r="B80" s="1" t="s">
        <v>331</v>
      </c>
      <c r="C80" s="1">
        <v>1.2126842574E10</v>
      </c>
      <c r="D80" s="1" t="s">
        <v>332</v>
      </c>
      <c r="E80" s="1" t="s">
        <v>333</v>
      </c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">
        <v>4.941655412E9</v>
      </c>
      <c r="B81" s="1" t="s">
        <v>336</v>
      </c>
      <c r="C81" s="1">
        <v>4.1258456894E10</v>
      </c>
      <c r="D81" s="1" t="s">
        <v>337</v>
      </c>
      <c r="E81" s="1" t="s">
        <v>338</v>
      </c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">
        <v>1.9454373E7</v>
      </c>
      <c r="B82" s="1" t="s">
        <v>341</v>
      </c>
      <c r="C82" s="1">
        <v>3.15331678E9</v>
      </c>
      <c r="D82" s="1" t="s">
        <v>342</v>
      </c>
      <c r="E82" s="1" t="s">
        <v>343</v>
      </c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1">
        <v>102960.0</v>
      </c>
      <c r="B83" s="1" t="s">
        <v>346</v>
      </c>
      <c r="C83" s="1">
        <v>6.6234349E7</v>
      </c>
      <c r="D83" s="1" t="s">
        <v>347</v>
      </c>
      <c r="E83" s="1" t="s">
        <v>348</v>
      </c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" t="s">
        <v>350</v>
      </c>
      <c r="B84" s="1" t="s">
        <v>351</v>
      </c>
      <c r="C84" s="1" t="s">
        <v>352</v>
      </c>
      <c r="D84" s="1" t="s">
        <v>353</v>
      </c>
      <c r="E84" s="1" t="s">
        <v>354</v>
      </c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">
        <v>5.4415489E7</v>
      </c>
      <c r="B85" s="1" t="s">
        <v>355</v>
      </c>
      <c r="C85" s="1">
        <v>5.5855855E7</v>
      </c>
      <c r="D85" s="2"/>
      <c r="E85" s="1" t="s">
        <v>356</v>
      </c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">
        <v>1.099202061E9</v>
      </c>
      <c r="B86" s="1" t="s">
        <v>358</v>
      </c>
      <c r="C86" s="1">
        <v>3.148148026E9</v>
      </c>
      <c r="D86" s="2"/>
      <c r="E86" s="1" t="s">
        <v>360</v>
      </c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">
        <v>1.54926644E8</v>
      </c>
      <c r="B87" s="1" t="s">
        <v>361</v>
      </c>
      <c r="C87" s="1">
        <v>3.1358462546E10</v>
      </c>
      <c r="D87" s="1" t="s">
        <v>363</v>
      </c>
      <c r="E87" s="1" t="s">
        <v>364</v>
      </c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" t="s">
        <v>365</v>
      </c>
      <c r="B88" s="1" t="s">
        <v>366</v>
      </c>
      <c r="C88" s="1" t="s">
        <v>368</v>
      </c>
      <c r="D88" s="1" t="s">
        <v>369</v>
      </c>
      <c r="E88" s="1" t="s">
        <v>370</v>
      </c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" t="s">
        <v>372</v>
      </c>
      <c r="B89" s="1" t="s">
        <v>373</v>
      </c>
      <c r="C89" s="2" t="str">
        <f>+5076614-8509/PANAMA</f>
        <v>#NAME?</v>
      </c>
      <c r="D89" s="2"/>
      <c r="E89" s="2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" t="s">
        <v>376</v>
      </c>
      <c r="B90" s="1" t="s">
        <v>377</v>
      </c>
      <c r="C90" s="2" t="str">
        <f>+5076983-4102 PANAMA</f>
        <v>#ERROR!</v>
      </c>
      <c r="D90" s="2"/>
      <c r="E90" s="2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">
        <v>1.10068584E8</v>
      </c>
      <c r="B91" s="1" t="s">
        <v>379</v>
      </c>
      <c r="C91" s="1">
        <v>3.0037977E7</v>
      </c>
      <c r="D91" s="1" t="s">
        <v>380</v>
      </c>
      <c r="E91" s="1" t="s">
        <v>381</v>
      </c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">
        <v>3.014662593E9</v>
      </c>
      <c r="B92" s="1" t="s">
        <v>383</v>
      </c>
      <c r="C92" s="2">
        <f>+573014662593</f>
        <v>573014662593</v>
      </c>
      <c r="D92" s="2"/>
      <c r="E92" s="2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" t="s">
        <v>385</v>
      </c>
      <c r="B93" s="1" t="s">
        <v>386</v>
      </c>
      <c r="C93" s="2" t="str">
        <f>+5076675-665/PANAMA</f>
        <v>#NAME?</v>
      </c>
      <c r="D93" s="2"/>
      <c r="E93" s="1" t="s">
        <v>3</v>
      </c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" t="s">
        <v>389</v>
      </c>
      <c r="B94" s="1" t="s">
        <v>390</v>
      </c>
      <c r="C94" s="2" t="str">
        <f>+5076983-0088 PANAMA</f>
        <v>#ERROR!</v>
      </c>
      <c r="D94" s="2"/>
      <c r="E94" s="2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">
        <v>471344.0</v>
      </c>
      <c r="B95" s="1" t="s">
        <v>392</v>
      </c>
      <c r="C95" s="2" t="str">
        <f>+5076930-7685/PANAMA</f>
        <v>#NAME?</v>
      </c>
      <c r="D95" s="2"/>
      <c r="E95" s="2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" t="s">
        <v>395</v>
      </c>
      <c r="B96" s="1" t="s">
        <v>396</v>
      </c>
      <c r="C96" s="1" t="s">
        <v>397</v>
      </c>
      <c r="D96" s="1" t="s">
        <v>398</v>
      </c>
      <c r="E96" s="1" t="s">
        <v>399</v>
      </c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" t="s">
        <v>401</v>
      </c>
      <c r="B97" s="1" t="s">
        <v>402</v>
      </c>
      <c r="C97" s="1">
        <v>6.9800905E7</v>
      </c>
      <c r="D97" s="1" t="s">
        <v>403</v>
      </c>
      <c r="E97" s="1" t="s">
        <v>404</v>
      </c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" t="s">
        <v>407</v>
      </c>
      <c r="B98" s="1" t="s">
        <v>408</v>
      </c>
      <c r="C98" s="1" t="s">
        <v>409</v>
      </c>
      <c r="D98" s="1" t="s">
        <v>410</v>
      </c>
      <c r="E98" s="1" t="s">
        <v>411</v>
      </c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" t="s">
        <v>415</v>
      </c>
      <c r="B99" s="1" t="s">
        <v>416</v>
      </c>
      <c r="C99" s="1" t="s">
        <v>417</v>
      </c>
      <c r="D99" s="2"/>
      <c r="E99" s="1" t="s">
        <v>418</v>
      </c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">
        <v>1.049646096E9</v>
      </c>
      <c r="B100" s="1" t="s">
        <v>420</v>
      </c>
      <c r="C100" s="1">
        <v>3.013878693E9</v>
      </c>
      <c r="D100" s="1" t="s">
        <v>421</v>
      </c>
      <c r="E100" s="1" t="s">
        <v>422</v>
      </c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">
        <v>1.036605042E9</v>
      </c>
      <c r="B101" s="1" t="s">
        <v>425</v>
      </c>
      <c r="C101" s="1">
        <v>3.158103884E9</v>
      </c>
      <c r="D101" s="1" t="s">
        <v>426</v>
      </c>
      <c r="E101" s="1" t="s">
        <v>427</v>
      </c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">
        <v>7.432164E7</v>
      </c>
      <c r="B102" s="1" t="s">
        <v>429</v>
      </c>
      <c r="C102" s="1">
        <v>3.173815785E9</v>
      </c>
      <c r="D102" s="2"/>
      <c r="E102" s="1" t="s">
        <v>430</v>
      </c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" t="s">
        <v>433</v>
      </c>
      <c r="B103" s="1" t="s">
        <v>434</v>
      </c>
      <c r="C103" s="1" t="s">
        <v>435</v>
      </c>
      <c r="D103" s="1" t="s">
        <v>436</v>
      </c>
      <c r="E103" s="1" t="s">
        <v>437</v>
      </c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">
        <v>6.572139465E9</v>
      </c>
      <c r="B104" s="1" t="s">
        <v>439</v>
      </c>
      <c r="C104" s="1">
        <v>518393.0</v>
      </c>
      <c r="D104" s="2"/>
      <c r="E104" s="1" t="s">
        <v>112</v>
      </c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" t="s">
        <v>442</v>
      </c>
      <c r="B105" s="1" t="s">
        <v>443</v>
      </c>
      <c r="C105" s="1" t="s">
        <v>444</v>
      </c>
      <c r="D105" s="1" t="s">
        <v>445</v>
      </c>
      <c r="E105" s="1" t="s">
        <v>446</v>
      </c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">
        <v>4.1011643E7</v>
      </c>
      <c r="B106" s="1" t="s">
        <v>448</v>
      </c>
      <c r="C106" s="1">
        <v>6.4486516E7</v>
      </c>
      <c r="D106" s="2"/>
      <c r="E106" s="1" t="s">
        <v>449</v>
      </c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" t="s">
        <v>451</v>
      </c>
      <c r="B107" s="1" t="s">
        <v>452</v>
      </c>
      <c r="C107" s="1">
        <v>6.3060604E7</v>
      </c>
      <c r="D107" s="1" t="s">
        <v>453</v>
      </c>
      <c r="E107" s="1" t="s">
        <v>454</v>
      </c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">
        <v>1.3812299E8</v>
      </c>
      <c r="B108" s="1" t="s">
        <v>457</v>
      </c>
      <c r="C108" s="1">
        <v>8300756.0</v>
      </c>
      <c r="D108" s="1" t="s">
        <v>458</v>
      </c>
      <c r="E108" s="1" t="s">
        <v>460</v>
      </c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">
        <v>5.4854516785E10</v>
      </c>
      <c r="B109" s="1" t="s">
        <v>462</v>
      </c>
      <c r="C109" s="1">
        <v>5.47845468E8</v>
      </c>
      <c r="D109" s="2"/>
      <c r="E109" s="1" t="s">
        <v>449</v>
      </c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">
        <v>5.451654412185E12</v>
      </c>
      <c r="B110" s="1" t="s">
        <v>466</v>
      </c>
      <c r="C110" s="1">
        <v>5.469854156E9</v>
      </c>
      <c r="D110" s="2"/>
      <c r="E110" s="1" t="s">
        <v>449</v>
      </c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">
        <v>1.136880258E9</v>
      </c>
      <c r="B111" s="1" t="s">
        <v>468</v>
      </c>
      <c r="C111" s="1">
        <v>5.6845465959E10</v>
      </c>
      <c r="D111" s="2"/>
      <c r="E111" s="1" t="s">
        <v>449</v>
      </c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">
        <v>1.5436836336E10</v>
      </c>
      <c r="B112" s="1" t="s">
        <v>471</v>
      </c>
      <c r="C112" s="1">
        <v>6.7478019E7</v>
      </c>
      <c r="D112" s="1" t="s">
        <v>472</v>
      </c>
      <c r="E112" s="1" t="s">
        <v>473</v>
      </c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" t="s">
        <v>475</v>
      </c>
      <c r="B113" s="1" t="s">
        <v>476</v>
      </c>
      <c r="C113" s="1">
        <v>6.616054E7</v>
      </c>
      <c r="D113" s="1" t="s">
        <v>477</v>
      </c>
      <c r="E113" s="1" t="s">
        <v>479</v>
      </c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" t="s">
        <v>481</v>
      </c>
      <c r="B114" s="1" t="s">
        <v>482</v>
      </c>
      <c r="C114" s="1">
        <v>6.2077435E7</v>
      </c>
      <c r="D114" s="1" t="s">
        <v>483</v>
      </c>
      <c r="E114" s="1" t="s">
        <v>484</v>
      </c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" t="s">
        <v>487</v>
      </c>
      <c r="B115" s="1" t="s">
        <v>488</v>
      </c>
      <c r="C115" s="1">
        <v>6.5699539E7</v>
      </c>
      <c r="D115" s="1" t="s">
        <v>490</v>
      </c>
      <c r="E115" s="1" t="s">
        <v>449</v>
      </c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" t="s">
        <v>492</v>
      </c>
      <c r="B116" s="1" t="s">
        <v>493</v>
      </c>
      <c r="C116" s="1">
        <v>6.320619E7</v>
      </c>
      <c r="D116" s="1" t="s">
        <v>495</v>
      </c>
      <c r="E116" s="1" t="s">
        <v>473</v>
      </c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" t="s">
        <v>496</v>
      </c>
      <c r="B117" s="1" t="s">
        <v>498</v>
      </c>
      <c r="C117" s="2"/>
      <c r="D117" s="1" t="s">
        <v>499</v>
      </c>
      <c r="E117" s="1" t="s">
        <v>500</v>
      </c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" t="s">
        <v>502</v>
      </c>
      <c r="B118" s="1" t="s">
        <v>503</v>
      </c>
      <c r="C118" s="1" t="s">
        <v>504</v>
      </c>
      <c r="D118" s="1" t="s">
        <v>505</v>
      </c>
      <c r="E118" s="1" t="s">
        <v>506</v>
      </c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">
        <v>1.1365438732E10</v>
      </c>
      <c r="B119" s="1" t="s">
        <v>508</v>
      </c>
      <c r="C119" s="1" t="s">
        <v>509</v>
      </c>
      <c r="D119" s="2"/>
      <c r="E119" s="2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" t="s">
        <v>511</v>
      </c>
      <c r="B120" s="1" t="s">
        <v>512</v>
      </c>
      <c r="C120" s="2"/>
      <c r="D120" s="2"/>
      <c r="E120" s="1" t="s">
        <v>513</v>
      </c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" t="s">
        <v>516</v>
      </c>
      <c r="B121" s="1" t="s">
        <v>517</v>
      </c>
      <c r="C121" s="1" t="s">
        <v>518</v>
      </c>
      <c r="D121" s="1" t="s">
        <v>519</v>
      </c>
      <c r="E121" s="1" t="s">
        <v>520</v>
      </c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">
        <v>2.54135852E8</v>
      </c>
      <c r="B122" s="1" t="s">
        <v>523</v>
      </c>
      <c r="C122" s="1">
        <v>3.13259389E9</v>
      </c>
      <c r="D122" s="2"/>
      <c r="E122" s="2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" t="s">
        <v>525</v>
      </c>
      <c r="B123" s="1" t="s">
        <v>527</v>
      </c>
      <c r="C123" s="1" t="s">
        <v>528</v>
      </c>
      <c r="D123" s="2"/>
      <c r="E123" s="1" t="s">
        <v>529</v>
      </c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" t="s">
        <v>531</v>
      </c>
      <c r="B124" s="1" t="s">
        <v>533</v>
      </c>
      <c r="C124" s="2" t="str">
        <f>+5076070/1389 panama</f>
        <v>#ERROR!</v>
      </c>
      <c r="D124" s="2"/>
      <c r="E124" s="1" t="s">
        <v>147</v>
      </c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">
        <v>2.54613513E8</v>
      </c>
      <c r="B125" s="1" t="s">
        <v>535</v>
      </c>
      <c r="C125" s="1">
        <v>3.186498573E9</v>
      </c>
      <c r="D125" s="2"/>
      <c r="E125" s="2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">
        <v>1.35662663E8</v>
      </c>
      <c r="B126" s="1" t="s">
        <v>537</v>
      </c>
      <c r="C126" s="1">
        <v>3.134593685E9</v>
      </c>
      <c r="D126" s="2"/>
      <c r="E126" s="2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">
        <v>1.23423553E8</v>
      </c>
      <c r="B127" s="1" t="s">
        <v>541</v>
      </c>
      <c r="C127" s="1">
        <v>3.106881511E9</v>
      </c>
      <c r="D127" s="2"/>
      <c r="E127" s="2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">
        <v>4.234355353E9</v>
      </c>
      <c r="B128" s="1" t="s">
        <v>544</v>
      </c>
      <c r="C128" s="1">
        <v>2.243354546E9</v>
      </c>
      <c r="D128" s="2"/>
      <c r="E128" s="2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">
        <v>2.2433535E7</v>
      </c>
      <c r="B129" s="1" t="s">
        <v>546</v>
      </c>
      <c r="C129" s="1">
        <v>3.118004724E9</v>
      </c>
      <c r="D129" s="2"/>
      <c r="E129" s="2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">
        <v>1.72727371E8</v>
      </c>
      <c r="B130" s="1" t="s">
        <v>548</v>
      </c>
      <c r="C130" s="1">
        <v>3.102185139E9</v>
      </c>
      <c r="D130" s="2"/>
      <c r="E130" s="2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">
        <v>1.02345647E8</v>
      </c>
      <c r="B131" s="1" t="s">
        <v>551</v>
      </c>
      <c r="C131" s="1">
        <v>3.13242526E8</v>
      </c>
      <c r="D131" s="2"/>
      <c r="E131" s="2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">
        <v>5201297.0</v>
      </c>
      <c r="B132" s="1" t="s">
        <v>554</v>
      </c>
      <c r="C132" s="2" t="str">
        <f>+1(407)520-1297/PANAMA</f>
        <v>#ERROR!</v>
      </c>
      <c r="D132" s="2"/>
      <c r="E132" s="1" t="s">
        <v>3</v>
      </c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" t="s">
        <v>557</v>
      </c>
      <c r="B133" s="1" t="s">
        <v>558</v>
      </c>
      <c r="C133" s="2" t="str">
        <f>+50765377662/PANAMA</f>
        <v>#NAME?</v>
      </c>
      <c r="D133" s="2"/>
      <c r="E133" s="1" t="s">
        <v>3</v>
      </c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">
        <v>6.9808331E7</v>
      </c>
      <c r="B134" s="1" t="s">
        <v>561</v>
      </c>
      <c r="C134" s="2" t="str">
        <f>+50769808331/PANAMA</f>
        <v>#NAME?</v>
      </c>
      <c r="D134" s="2"/>
      <c r="E134" s="1" t="s">
        <v>147</v>
      </c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">
        <v>1.24345774E8</v>
      </c>
      <c r="B135" s="1" t="s">
        <v>564</v>
      </c>
      <c r="C135" s="2" t="str">
        <f>+50764694578/PANAMA</f>
        <v>#NAME?</v>
      </c>
      <c r="D135" s="2"/>
      <c r="E135" s="1" t="s">
        <v>3</v>
      </c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">
        <v>1.551648486E9</v>
      </c>
      <c r="B136" s="1" t="s">
        <v>566</v>
      </c>
      <c r="C136" s="1">
        <v>3.176455061E9</v>
      </c>
      <c r="D136" s="2"/>
      <c r="E136" s="2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">
        <v>1.23355347E8</v>
      </c>
      <c r="B137" s="1" t="s">
        <v>569</v>
      </c>
      <c r="C137" s="1">
        <v>3.163310936E9</v>
      </c>
      <c r="D137" s="2"/>
      <c r="E137" s="2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">
        <v>1.026597552E9</v>
      </c>
      <c r="B138" s="1" t="s">
        <v>572</v>
      </c>
      <c r="C138" s="1" t="s">
        <v>573</v>
      </c>
      <c r="D138" s="2"/>
      <c r="E138" s="2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">
        <v>1.044792444E9</v>
      </c>
      <c r="B139" s="1" t="s">
        <v>575</v>
      </c>
      <c r="C139" s="1">
        <v>3.195327386E9</v>
      </c>
      <c r="D139" s="2"/>
      <c r="E139" s="2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" t="s">
        <v>579</v>
      </c>
      <c r="B140" s="1" t="s">
        <v>580</v>
      </c>
      <c r="C140" s="2" t="str">
        <f>+5076674-2241/PANAMA</f>
        <v>#NAME?</v>
      </c>
      <c r="D140" s="2"/>
      <c r="E140" s="1" t="s">
        <v>3</v>
      </c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" t="s">
        <v>582</v>
      </c>
      <c r="B141" s="1" t="s">
        <v>583</v>
      </c>
      <c r="C141" s="2" t="str">
        <f>+50769622332/PANAMA</f>
        <v>#NAME?</v>
      </c>
      <c r="D141" s="2"/>
      <c r="E141" s="1" t="s">
        <v>3</v>
      </c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" t="s">
        <v>585</v>
      </c>
      <c r="B142" s="1" t="s">
        <v>586</v>
      </c>
      <c r="C142" s="2" t="str">
        <f>+50764507956/PANAMA</f>
        <v>#NAME?</v>
      </c>
      <c r="D142" s="2"/>
      <c r="E142" s="1" t="s">
        <v>3</v>
      </c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">
        <v>8.0351804E7</v>
      </c>
      <c r="B143" s="1" t="s">
        <v>589</v>
      </c>
      <c r="C143" s="2" t="str">
        <f>+5076283-5714/PANAMA</f>
        <v>#NAME?</v>
      </c>
      <c r="D143" s="2"/>
      <c r="E143" s="1" t="s">
        <v>3</v>
      </c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" t="s">
        <v>591</v>
      </c>
      <c r="B144" s="1" t="s">
        <v>592</v>
      </c>
      <c r="C144" s="2" t="str">
        <f>+5076615-4520/PANAMA</f>
        <v>#NAME?</v>
      </c>
      <c r="D144" s="2"/>
      <c r="E144" s="1" t="s">
        <v>3</v>
      </c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" t="s">
        <v>595</v>
      </c>
      <c r="B145" s="1" t="s">
        <v>596</v>
      </c>
      <c r="C145" s="2" t="str">
        <f>+5076613-1831/PANAMA</f>
        <v>#NAME?</v>
      </c>
      <c r="D145" s="2"/>
      <c r="E145" s="1" t="s">
        <v>3</v>
      </c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">
        <v>101.0</v>
      </c>
      <c r="B146" s="1" t="s">
        <v>599</v>
      </c>
      <c r="C146" s="2"/>
      <c r="D146" s="2"/>
      <c r="E146" s="1" t="s">
        <v>299</v>
      </c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" t="s">
        <v>602</v>
      </c>
      <c r="B147" s="1" t="s">
        <v>603</v>
      </c>
      <c r="C147" s="2" t="str">
        <f>+5076252-4547/PANAMA</f>
        <v>#NAME?</v>
      </c>
      <c r="D147" s="2"/>
      <c r="E147" s="1" t="s">
        <v>3</v>
      </c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" t="s">
        <v>606</v>
      </c>
      <c r="B148" s="1" t="s">
        <v>607</v>
      </c>
      <c r="C148" s="2" t="str">
        <f>+5076617-8406 PANAMA</f>
        <v>#ERROR!</v>
      </c>
      <c r="D148" s="2"/>
      <c r="E148" s="1" t="s">
        <v>3</v>
      </c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" t="s">
        <v>610</v>
      </c>
      <c r="B149" s="1" t="s">
        <v>611</v>
      </c>
      <c r="C149" s="2" t="str">
        <f>+5076244-9019 PANAMA</f>
        <v>#ERROR!</v>
      </c>
      <c r="D149" s="2"/>
      <c r="E149" s="1" t="s">
        <v>3</v>
      </c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">
        <v>5076672.0</v>
      </c>
      <c r="B150" s="1" t="s">
        <v>613</v>
      </c>
      <c r="C150" s="2" t="str">
        <f>+507 6672-4980PANAMA</f>
        <v>#ERROR!</v>
      </c>
      <c r="D150" s="2"/>
      <c r="E150" s="1" t="s">
        <v>3</v>
      </c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">
        <v>1.93887272E8</v>
      </c>
      <c r="B151" s="1" t="s">
        <v>616</v>
      </c>
      <c r="C151" s="1" t="s">
        <v>617</v>
      </c>
      <c r="D151" s="2"/>
      <c r="E151" s="2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">
        <v>1.5478746E7</v>
      </c>
      <c r="B152" s="1" t="s">
        <v>619</v>
      </c>
      <c r="C152" s="1">
        <v>3.124617399E9</v>
      </c>
      <c r="D152" s="2"/>
      <c r="E152" s="2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">
        <v>1234841.0</v>
      </c>
      <c r="B153" s="1" t="s">
        <v>621</v>
      </c>
      <c r="C153" s="1">
        <v>3.1121555E9</v>
      </c>
      <c r="D153" s="2"/>
      <c r="E153" s="2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">
        <v>8.0219312E7</v>
      </c>
      <c r="B154" s="1" t="s">
        <v>624</v>
      </c>
      <c r="C154" s="1">
        <v>3.157821034E9</v>
      </c>
      <c r="D154" s="2"/>
      <c r="E154" s="2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">
        <v>1.016954289E9</v>
      </c>
      <c r="B155" s="1" t="s">
        <v>627</v>
      </c>
      <c r="C155" s="1">
        <v>3.166004408E9</v>
      </c>
      <c r="D155" s="2"/>
      <c r="E155" s="2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">
        <v>3.123063415E9</v>
      </c>
      <c r="B156" s="1" t="s">
        <v>630</v>
      </c>
      <c r="C156" s="1" t="s">
        <v>299</v>
      </c>
      <c r="D156" s="2"/>
      <c r="E156" s="1" t="s">
        <v>299</v>
      </c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">
        <v>1012.0</v>
      </c>
      <c r="B157" s="1" t="s">
        <v>633</v>
      </c>
      <c r="C157" s="1" t="s">
        <v>299</v>
      </c>
      <c r="D157" s="2"/>
      <c r="E157" s="1" t="s">
        <v>299</v>
      </c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">
        <v>101.0</v>
      </c>
      <c r="B158" s="1" t="s">
        <v>634</v>
      </c>
      <c r="C158" s="1" t="s">
        <v>299</v>
      </c>
      <c r="D158" s="2"/>
      <c r="E158" s="1" t="s">
        <v>299</v>
      </c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">
        <v>1.030538232E9</v>
      </c>
      <c r="B159" s="1" t="s">
        <v>637</v>
      </c>
      <c r="C159" s="1">
        <v>3.162536441E9</v>
      </c>
      <c r="D159" s="2"/>
      <c r="E159" s="2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">
        <v>0.0</v>
      </c>
      <c r="B160" s="1" t="s">
        <v>640</v>
      </c>
      <c r="C160" s="1">
        <v>0.0</v>
      </c>
      <c r="D160" s="2"/>
      <c r="E160" s="2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">
        <v>0.0</v>
      </c>
      <c r="B161" s="1" t="s">
        <v>642</v>
      </c>
      <c r="C161" s="1">
        <v>0.0</v>
      </c>
      <c r="D161" s="2"/>
      <c r="E161" s="2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">
        <v>0.0</v>
      </c>
      <c r="B162" s="1" t="s">
        <v>645</v>
      </c>
      <c r="C162" s="1">
        <v>0.0</v>
      </c>
      <c r="D162" s="2"/>
      <c r="E162" s="2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" t="s">
        <v>647</v>
      </c>
      <c r="B163" s="1" t="s">
        <v>648</v>
      </c>
      <c r="C163" s="2" t="str">
        <f>+5076614-990/PANAMA</f>
        <v>#NAME?</v>
      </c>
      <c r="D163" s="2"/>
      <c r="E163" s="1" t="s">
        <v>3</v>
      </c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" t="s">
        <v>652</v>
      </c>
      <c r="B164" s="1" t="s">
        <v>653</v>
      </c>
      <c r="C164" s="2" t="str">
        <f>+5076695-2684/PANAMA</f>
        <v>#NAME?</v>
      </c>
      <c r="D164" s="2"/>
      <c r="E164" s="1" t="s">
        <v>3</v>
      </c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">
        <v>1.45657118E8</v>
      </c>
      <c r="B165" s="1" t="s">
        <v>655</v>
      </c>
      <c r="C165" s="2" t="str">
        <f>+5076278-2327/PANAMA</f>
        <v>#NAME?</v>
      </c>
      <c r="D165" s="2"/>
      <c r="E165" s="1" t="s">
        <v>3</v>
      </c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">
        <v>5.17946021E8</v>
      </c>
      <c r="B166" s="1" t="s">
        <v>659</v>
      </c>
      <c r="C166" s="2" t="str">
        <f>+5076473-8035 PANAMA</f>
        <v>#ERROR!</v>
      </c>
      <c r="D166" s="2"/>
      <c r="E166" s="1" t="s">
        <v>3</v>
      </c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">
        <v>6.83332191E8</v>
      </c>
      <c r="B167" s="1" t="s">
        <v>661</v>
      </c>
      <c r="C167" s="2"/>
      <c r="D167" s="2"/>
      <c r="E167" s="2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">
        <v>3.24348172E9</v>
      </c>
      <c r="B168" s="1" t="s">
        <v>664</v>
      </c>
      <c r="C168" s="2"/>
      <c r="D168" s="2"/>
      <c r="E168" s="2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">
        <v>1.786956604E10</v>
      </c>
      <c r="B169" s="1" t="s">
        <v>666</v>
      </c>
      <c r="C169" s="2"/>
      <c r="D169" s="2"/>
      <c r="E169" s="2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">
        <v>3.104645176E9</v>
      </c>
      <c r="B170" s="1" t="s">
        <v>668</v>
      </c>
      <c r="C170" s="2"/>
      <c r="D170" s="2"/>
      <c r="E170" s="2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">
        <v>0.0</v>
      </c>
      <c r="B171" s="1" t="s">
        <v>670</v>
      </c>
      <c r="C171" s="2"/>
      <c r="D171" s="2"/>
      <c r="E171" s="2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">
        <v>3.24288663E9</v>
      </c>
      <c r="B172" s="1" t="s">
        <v>672</v>
      </c>
      <c r="C172" s="2"/>
      <c r="D172" s="2"/>
      <c r="E172" s="2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" t="s">
        <v>675</v>
      </c>
      <c r="B173" s="1" t="s">
        <v>676</v>
      </c>
      <c r="C173" s="2">
        <f>+5076612-482</f>
        <v>5076130</v>
      </c>
      <c r="D173" s="2"/>
      <c r="E173" s="2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" t="s">
        <v>679</v>
      </c>
      <c r="B174" s="1" t="s">
        <v>680</v>
      </c>
      <c r="C174" s="2">
        <f>+5076780-9359</f>
        <v>5067421</v>
      </c>
      <c r="D174" s="2"/>
      <c r="E174" s="2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" t="s">
        <v>683</v>
      </c>
      <c r="B175" s="1" t="s">
        <v>684</v>
      </c>
      <c r="C175" s="2" t="str">
        <f>+507-6616-7304/</f>
        <v>#ERROR!</v>
      </c>
      <c r="D175" s="2"/>
      <c r="E175" s="2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" t="s">
        <v>687</v>
      </c>
      <c r="B176" s="1" t="s">
        <v>688</v>
      </c>
      <c r="C176" s="1">
        <v>6.3618767E7</v>
      </c>
      <c r="D176" s="2"/>
      <c r="E176" s="2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">
        <v>1.2384585E7</v>
      </c>
      <c r="B177" s="1" t="s">
        <v>691</v>
      </c>
      <c r="C177" s="2" t="str">
        <f>+501 3939327</f>
        <v>#ERROR!</v>
      </c>
      <c r="D177" s="2"/>
      <c r="E177" s="2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" t="s">
        <v>694</v>
      </c>
      <c r="B178" s="1" t="s">
        <v>695</v>
      </c>
      <c r="C178" s="1">
        <v>6.5503553E7</v>
      </c>
      <c r="D178" s="2"/>
      <c r="E178" s="2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" t="s">
        <v>697</v>
      </c>
      <c r="B179" s="1" t="s">
        <v>698</v>
      </c>
      <c r="C179" s="1">
        <v>6.67669648E8</v>
      </c>
      <c r="D179" s="2"/>
      <c r="E179" s="2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" t="s">
        <v>700</v>
      </c>
      <c r="B180" s="1" t="s">
        <v>701</v>
      </c>
      <c r="C180" s="1">
        <v>6.6750701E7</v>
      </c>
      <c r="D180" s="2"/>
      <c r="E180" s="2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">
        <v>1.1294492764E10</v>
      </c>
      <c r="B181" s="1" t="s">
        <v>703</v>
      </c>
      <c r="C181" s="1">
        <v>3.162666344E10</v>
      </c>
      <c r="D181" s="2"/>
      <c r="E181" s="2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">
        <v>7.9689103E7</v>
      </c>
      <c r="B182" s="1" t="s">
        <v>706</v>
      </c>
      <c r="C182" s="1">
        <v>3.145461088E9</v>
      </c>
      <c r="D182" s="2"/>
      <c r="E182" s="2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">
        <v>1.039468102E9</v>
      </c>
      <c r="B183" s="1" t="s">
        <v>708</v>
      </c>
      <c r="C183" s="1">
        <v>3.042144195E9</v>
      </c>
      <c r="D183" s="2"/>
      <c r="E183" s="2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" t="s">
        <v>710</v>
      </c>
      <c r="B184" s="1" t="s">
        <v>711</v>
      </c>
      <c r="C184" s="1" t="s">
        <v>712</v>
      </c>
      <c r="D184" s="2"/>
      <c r="E184" s="1" t="s">
        <v>3</v>
      </c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" t="s">
        <v>715</v>
      </c>
      <c r="B185" s="1" t="s">
        <v>716</v>
      </c>
      <c r="C185" s="1">
        <v>6.6140107E7</v>
      </c>
      <c r="D185" s="2"/>
      <c r="E185" s="1" t="s">
        <v>3</v>
      </c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" t="s">
        <v>719</v>
      </c>
      <c r="B186" s="1" t="s">
        <v>720</v>
      </c>
      <c r="C186" s="1" t="s">
        <v>721</v>
      </c>
      <c r="D186" s="2"/>
      <c r="E186" s="1" t="s">
        <v>3</v>
      </c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">
        <v>1.051600236E9</v>
      </c>
      <c r="B187" s="1" t="s">
        <v>723</v>
      </c>
      <c r="C187" s="1">
        <v>3.193725013E9</v>
      </c>
      <c r="D187" s="2"/>
      <c r="E187" s="2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">
        <v>3.017307691E9</v>
      </c>
      <c r="B188" s="1" t="s">
        <v>726</v>
      </c>
      <c r="C188" s="1">
        <v>3.017307691E9</v>
      </c>
      <c r="D188" s="2"/>
      <c r="E188" s="2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">
        <v>1.93246685E9</v>
      </c>
      <c r="B189" s="1" t="s">
        <v>728</v>
      </c>
      <c r="C189" s="1">
        <v>3.017307631E9</v>
      </c>
      <c r="D189" s="2"/>
      <c r="E189" s="2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">
        <v>7.1377038E7</v>
      </c>
      <c r="B190" s="1" t="s">
        <v>731</v>
      </c>
      <c r="C190" s="1">
        <v>3.185604781E9</v>
      </c>
      <c r="D190" s="2"/>
      <c r="E190" s="2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" t="s">
        <v>734</v>
      </c>
      <c r="B191" s="1" t="s">
        <v>735</v>
      </c>
      <c r="C191" s="1" t="s">
        <v>736</v>
      </c>
      <c r="D191" s="2"/>
      <c r="E191" s="1" t="s">
        <v>737</v>
      </c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">
        <v>7.9504663E7</v>
      </c>
      <c r="B192" s="1" t="s">
        <v>739</v>
      </c>
      <c r="C192" s="1">
        <v>3.104489587E9</v>
      </c>
      <c r="D192" s="2"/>
      <c r="E192" s="2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">
        <v>1.000109695E10</v>
      </c>
      <c r="B193" s="1" t="s">
        <v>741</v>
      </c>
      <c r="C193" s="1">
        <v>3.168451787E9</v>
      </c>
      <c r="D193" s="2"/>
      <c r="E193" s="2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" t="s">
        <v>744</v>
      </c>
      <c r="B194" s="1" t="s">
        <v>745</v>
      </c>
      <c r="C194" s="1" t="s">
        <v>746</v>
      </c>
      <c r="D194" s="2"/>
      <c r="E194" s="2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" t="s">
        <v>748</v>
      </c>
      <c r="B195" s="1" t="s">
        <v>749</v>
      </c>
      <c r="C195" s="1" t="s">
        <v>750</v>
      </c>
      <c r="D195" s="1" t="s">
        <v>752</v>
      </c>
      <c r="E195" s="2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" t="s">
        <v>753</v>
      </c>
      <c r="B196" s="1" t="s">
        <v>754</v>
      </c>
      <c r="C196" s="2" t="str">
        <f>+507- 6000-5536 / Panama</f>
        <v>#NAME?</v>
      </c>
      <c r="D196" s="2"/>
      <c r="E196" s="2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">
        <v>3.00809306E9</v>
      </c>
      <c r="B197" s="1" t="s">
        <v>757</v>
      </c>
      <c r="C197" s="1">
        <v>3.00809306E9</v>
      </c>
      <c r="D197" s="2"/>
      <c r="E197" s="2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">
        <v>3.113872889E9</v>
      </c>
      <c r="B198" s="1" t="s">
        <v>760</v>
      </c>
      <c r="C198" s="1">
        <v>3.113872889E9</v>
      </c>
      <c r="D198" s="2"/>
      <c r="E198" s="2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" t="s">
        <v>762</v>
      </c>
      <c r="B199" s="1" t="s">
        <v>763</v>
      </c>
      <c r="C199" s="2" t="str">
        <f>+507 6781-4243/PANAMA</f>
        <v>#ERROR!</v>
      </c>
      <c r="D199" s="2"/>
      <c r="E199" s="2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" t="s">
        <v>765</v>
      </c>
      <c r="B200" s="1" t="s">
        <v>766</v>
      </c>
      <c r="C200" s="2" t="str">
        <f>+5076466-6285/PANAMA</f>
        <v>#NAME?</v>
      </c>
      <c r="D200" s="2"/>
      <c r="E200" s="2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" t="s">
        <v>768</v>
      </c>
      <c r="B201" s="1" t="s">
        <v>769</v>
      </c>
      <c r="C201" s="2" t="str">
        <f>+576395-3938/PANAMA</f>
        <v>#NAME?</v>
      </c>
      <c r="D201" s="2"/>
      <c r="E201" s="2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" t="s">
        <v>772</v>
      </c>
      <c r="B202" s="1" t="s">
        <v>773</v>
      </c>
      <c r="C202" s="2" t="str">
        <f>+576615-5085/PANAMA</f>
        <v>#NAME?</v>
      </c>
      <c r="D202" s="2"/>
      <c r="E202" s="2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">
        <v>3.057903343E9</v>
      </c>
      <c r="B203" s="1" t="s">
        <v>776</v>
      </c>
      <c r="C203" s="2" t="str">
        <f>+573057903343/COLOMBIA</f>
        <v>#NAME?</v>
      </c>
      <c r="D203" s="2"/>
      <c r="E203" s="2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">
        <v>7.9868217E7</v>
      </c>
      <c r="B204" s="1" t="s">
        <v>778</v>
      </c>
      <c r="C204" s="1">
        <v>3.20303787E9</v>
      </c>
      <c r="D204" s="2"/>
      <c r="E204" s="2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" t="s">
        <v>781</v>
      </c>
      <c r="B205" s="1" t="s">
        <v>782</v>
      </c>
      <c r="C205" s="1" t="s">
        <v>3</v>
      </c>
      <c r="D205" s="2"/>
      <c r="E205" s="2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">
        <v>1.020727721E9</v>
      </c>
      <c r="B206" s="1" t="s">
        <v>783</v>
      </c>
      <c r="C206" s="2" t="str">
        <f>+573203400727/COLOMBIA</f>
        <v>#NAME?</v>
      </c>
      <c r="D206" s="2"/>
      <c r="E206" s="2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" t="s">
        <v>787</v>
      </c>
      <c r="B207" s="1" t="s">
        <v>788</v>
      </c>
      <c r="C207" s="2" t="str">
        <f>+5076677-9200/PANAMA</f>
        <v>#NAME?</v>
      </c>
      <c r="D207" s="2"/>
      <c r="E207" s="2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" t="s">
        <v>791</v>
      </c>
      <c r="B208" s="1" t="s">
        <v>792</v>
      </c>
      <c r="C208" s="2" t="str">
        <f>+1832849-5315/PANAMA</f>
        <v>#NAME?</v>
      </c>
      <c r="D208" s="2"/>
      <c r="E208" s="2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">
        <v>1.110466421E9</v>
      </c>
      <c r="B209" s="1" t="s">
        <v>795</v>
      </c>
      <c r="C209" s="2" t="str">
        <f>+573006140564/COLOMBIA</f>
        <v>#NAME?</v>
      </c>
      <c r="D209" s="2"/>
      <c r="E209" s="2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">
        <v>1.032468403E9</v>
      </c>
      <c r="B210" s="1" t="s">
        <v>798</v>
      </c>
      <c r="C210" s="2" t="str">
        <f>+057 3133247389/COLOMBIA</f>
        <v>#ERROR!</v>
      </c>
      <c r="D210" s="2"/>
      <c r="E210" s="2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" t="s">
        <v>802</v>
      </c>
      <c r="B211" s="1" t="s">
        <v>803</v>
      </c>
      <c r="C211" s="2" t="str">
        <f>+5076334-0425 PANAMA</f>
        <v>#ERROR!</v>
      </c>
      <c r="D211" s="2"/>
      <c r="E211" s="2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" t="s">
        <v>806</v>
      </c>
      <c r="B212" s="1" t="s">
        <v>807</v>
      </c>
      <c r="C212" s="2" t="str">
        <f>+50769806143/PANAMA</f>
        <v>#NAME?</v>
      </c>
      <c r="D212" s="2"/>
      <c r="E212" s="2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1" t="s">
        <v>809</v>
      </c>
      <c r="B213" s="1" t="s">
        <v>810</v>
      </c>
      <c r="C213" s="2" t="str">
        <f>+5070 63071534/PANAMA</f>
        <v>#ERROR!</v>
      </c>
      <c r="D213" s="2"/>
      <c r="E213" s="2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" t="s">
        <v>814</v>
      </c>
      <c r="B214" s="1" t="s">
        <v>815</v>
      </c>
      <c r="C214" s="2" t="str">
        <f>+507 6550-4753/PANAMA</f>
        <v>#ERROR!</v>
      </c>
      <c r="D214" s="2"/>
      <c r="E214" s="2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" t="s">
        <v>817</v>
      </c>
      <c r="B215" s="1" t="s">
        <v>818</v>
      </c>
      <c r="C215" s="2" t="str">
        <f>+507 6671-8957/PANAMA</f>
        <v>#ERROR!</v>
      </c>
      <c r="D215" s="2"/>
      <c r="E215" s="2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" t="s">
        <v>821</v>
      </c>
      <c r="B216" s="1" t="s">
        <v>822</v>
      </c>
      <c r="C216" s="2" t="str">
        <f>+507 6747-0368PANAMA</f>
        <v>#ERROR!</v>
      </c>
      <c r="D216" s="2"/>
      <c r="E216" s="2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" t="s">
        <v>825</v>
      </c>
      <c r="B217" s="1" t="s">
        <v>827</v>
      </c>
      <c r="C217" s="2" t="str">
        <f>+507 6937-4563/PANAMA</f>
        <v>#ERROR!</v>
      </c>
      <c r="D217" s="2"/>
      <c r="E217" s="2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" t="s">
        <v>830</v>
      </c>
      <c r="B218" s="1" t="s">
        <v>831</v>
      </c>
      <c r="C218" s="2" t="str">
        <f>+507 6006-6007/PANAMA</f>
        <v>#ERROR!</v>
      </c>
      <c r="D218" s="2"/>
      <c r="E218" s="2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">
        <v>3.508868415E9</v>
      </c>
      <c r="B219" s="1" t="s">
        <v>834</v>
      </c>
      <c r="C219" s="1">
        <v>3.508868415E9</v>
      </c>
      <c r="D219" s="2"/>
      <c r="E219" s="2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">
        <v>3.212081676E9</v>
      </c>
      <c r="B220" s="1" t="s">
        <v>836</v>
      </c>
      <c r="C220" s="1">
        <v>3.212081676E9</v>
      </c>
      <c r="D220" s="2"/>
      <c r="E220" s="2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">
        <v>0.0</v>
      </c>
      <c r="B221" s="1" t="s">
        <v>839</v>
      </c>
      <c r="C221" s="1">
        <v>0.0</v>
      </c>
      <c r="D221" s="2"/>
      <c r="E221" s="2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">
        <v>7.9450881E7</v>
      </c>
      <c r="B222" s="1" t="s">
        <v>842</v>
      </c>
      <c r="C222" s="1">
        <v>3.232338126E9</v>
      </c>
      <c r="D222" s="2"/>
      <c r="E222" s="2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" t="s">
        <v>845</v>
      </c>
      <c r="B223" s="1" t="s">
        <v>846</v>
      </c>
      <c r="C223" s="1" t="s">
        <v>847</v>
      </c>
      <c r="D223" s="2"/>
      <c r="E223" s="2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" t="s">
        <v>850</v>
      </c>
      <c r="B224" s="1" t="s">
        <v>851</v>
      </c>
      <c r="C224" s="1" t="s">
        <v>853</v>
      </c>
      <c r="D224" s="2"/>
      <c r="E224" s="2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">
        <v>8.7181536E7</v>
      </c>
      <c r="B225" s="1" t="s">
        <v>855</v>
      </c>
      <c r="C225" s="2" t="str">
        <f>+5076679-3365 PANAMA</f>
        <v>#ERROR!</v>
      </c>
      <c r="D225" s="2"/>
      <c r="E225" s="2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">
        <v>8702494.0</v>
      </c>
      <c r="B226" s="1" t="s">
        <v>859</v>
      </c>
      <c r="C226" s="2" t="str">
        <f>+5076675-6325 PANAMA</f>
        <v>#ERROR!</v>
      </c>
      <c r="D226" s="2"/>
      <c r="E226" s="2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">
        <v>6.8893659E7</v>
      </c>
      <c r="B227" s="1" t="s">
        <v>861</v>
      </c>
      <c r="C227" s="1">
        <v>6.8893659E7</v>
      </c>
      <c r="D227" s="2"/>
      <c r="E227" s="2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" t="s">
        <v>863</v>
      </c>
      <c r="B228" s="1" t="s">
        <v>864</v>
      </c>
      <c r="C228" s="1" t="s">
        <v>863</v>
      </c>
      <c r="D228" s="2"/>
      <c r="E228" s="2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">
        <v>8.9352309E7</v>
      </c>
      <c r="B229" s="1" t="s">
        <v>866</v>
      </c>
      <c r="C229" s="1">
        <v>6.9155932E7</v>
      </c>
      <c r="D229" s="2"/>
      <c r="E229" s="2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" t="s">
        <v>869</v>
      </c>
      <c r="B230" s="1" t="s">
        <v>870</v>
      </c>
      <c r="C230" s="2" t="str">
        <f>+1 786-329-9080 ESTADOS UNIDOS</f>
        <v>#ERROR!</v>
      </c>
      <c r="D230" s="2"/>
      <c r="E230" s="2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">
        <v>7.1797424E7</v>
      </c>
      <c r="B231" s="1" t="s">
        <v>873</v>
      </c>
      <c r="C231" s="2" t="str">
        <f>+573128621603 MEDELLIN</f>
        <v>#ERROR!</v>
      </c>
      <c r="D231" s="2"/>
      <c r="E231" s="2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" t="s">
        <v>876</v>
      </c>
      <c r="B232" s="1" t="s">
        <v>877</v>
      </c>
      <c r="C232" s="2" t="str">
        <f>+50767808295 PANAMÁ</f>
        <v>#ERROR!</v>
      </c>
      <c r="D232" s="2"/>
      <c r="E232" s="2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">
        <v>9.714237E7</v>
      </c>
      <c r="B233" s="1" t="s">
        <v>880</v>
      </c>
      <c r="C233" s="1" t="s">
        <v>881</v>
      </c>
      <c r="D233" s="2"/>
      <c r="E233" s="2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" t="s">
        <v>883</v>
      </c>
      <c r="B234" s="1" t="s">
        <v>884</v>
      </c>
      <c r="C234" s="2">
        <f>+5076270-1515</f>
        <v>5074755</v>
      </c>
      <c r="D234" s="2"/>
      <c r="E234" s="2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" t="s">
        <v>888</v>
      </c>
      <c r="B235" s="1" t="s">
        <v>889</v>
      </c>
      <c r="C235" s="2" t="str">
        <f>+5076616-9744/PANAMA</f>
        <v>#NAME?</v>
      </c>
      <c r="D235" s="2"/>
      <c r="E235" s="2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" t="s">
        <v>892</v>
      </c>
      <c r="B236" s="1" t="s">
        <v>893</v>
      </c>
      <c r="C236" s="2" t="str">
        <f>+5076309-0939/</f>
        <v>#ERROR!</v>
      </c>
      <c r="D236" s="2"/>
      <c r="E236" s="2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" t="s">
        <v>896</v>
      </c>
      <c r="B237" s="1" t="s">
        <v>897</v>
      </c>
      <c r="C237" s="2" t="str">
        <f>+5076671-7301 PANAMA</f>
        <v>#ERROR!</v>
      </c>
      <c r="D237" s="2"/>
      <c r="E237" s="2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" t="s">
        <v>900</v>
      </c>
      <c r="B238" s="1" t="s">
        <v>901</v>
      </c>
      <c r="C238" s="2" t="str">
        <f>+5076316-7175/PANAMA</f>
        <v>#NAME?</v>
      </c>
      <c r="D238" s="2"/>
      <c r="E238" s="2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" t="s">
        <v>904</v>
      </c>
      <c r="B239" s="1" t="s">
        <v>905</v>
      </c>
      <c r="C239" s="1" t="s">
        <v>907</v>
      </c>
      <c r="D239" s="2"/>
      <c r="E239" s="2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" t="s">
        <v>910</v>
      </c>
      <c r="B240" s="1" t="s">
        <v>911</v>
      </c>
      <c r="C240" s="1" t="s">
        <v>912</v>
      </c>
      <c r="D240" s="2"/>
      <c r="E240" s="2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" t="s">
        <v>915</v>
      </c>
      <c r="B241" s="1" t="s">
        <v>916</v>
      </c>
      <c r="C241" s="2" t="str">
        <f>+5076815-3483/PANAMA</f>
        <v>#NAME?</v>
      </c>
      <c r="D241" s="2"/>
      <c r="E241" s="1" t="s">
        <v>3</v>
      </c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" t="s">
        <v>919</v>
      </c>
      <c r="B242" s="1" t="s">
        <v>920</v>
      </c>
      <c r="C242" s="1" t="s">
        <v>921</v>
      </c>
      <c r="D242" s="2"/>
      <c r="E242" s="2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">
        <v>1.007647911E9</v>
      </c>
      <c r="B243" s="1" t="s">
        <v>923</v>
      </c>
      <c r="C243" s="1">
        <v>5.0769863374E10</v>
      </c>
      <c r="D243" s="2"/>
      <c r="E243" s="1" t="s">
        <v>3</v>
      </c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" t="s">
        <v>926</v>
      </c>
      <c r="B244" s="1" t="s">
        <v>927</v>
      </c>
      <c r="C244" s="1" t="s">
        <v>928</v>
      </c>
      <c r="D244" s="2"/>
      <c r="E244" s="1" t="s">
        <v>3</v>
      </c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" t="s">
        <v>930</v>
      </c>
      <c r="B245" s="1" t="s">
        <v>931</v>
      </c>
      <c r="C245" s="1">
        <v>6.74703398E8</v>
      </c>
      <c r="D245" s="2"/>
      <c r="E245" s="2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" t="s">
        <v>934</v>
      </c>
      <c r="B246" s="1" t="s">
        <v>935</v>
      </c>
      <c r="C246" s="1" t="s">
        <v>936</v>
      </c>
      <c r="D246" s="2"/>
      <c r="E246" s="2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" t="s">
        <v>939</v>
      </c>
      <c r="B247" s="1" t="s">
        <v>940</v>
      </c>
      <c r="C247" s="1" t="s">
        <v>941</v>
      </c>
      <c r="D247" s="2"/>
      <c r="E247" s="2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" t="s">
        <v>943</v>
      </c>
      <c r="B248" s="1" t="s">
        <v>944</v>
      </c>
      <c r="C248" s="2" t="str">
        <f>+1(813)263-7844-PANAMA</f>
        <v>#ERROR!</v>
      </c>
      <c r="D248" s="2"/>
      <c r="E248" s="2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">
        <v>7574458.0</v>
      </c>
      <c r="B249" s="1" t="s">
        <v>946</v>
      </c>
      <c r="C249" s="2" t="str">
        <f>+57321757-4458/BOGOTA</f>
        <v>#NAME?</v>
      </c>
      <c r="D249" s="2"/>
      <c r="E249" s="2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">
        <v>6.6736878E7</v>
      </c>
      <c r="B250" s="1" t="s">
        <v>948</v>
      </c>
      <c r="C250" s="2" t="str">
        <f>+5076673-6878/PANAMA</f>
        <v>#NAME?</v>
      </c>
      <c r="D250" s="2"/>
      <c r="E250" s="2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" t="s">
        <v>951</v>
      </c>
      <c r="B251" s="1" t="s">
        <v>952</v>
      </c>
      <c r="C251" s="2" t="str">
        <f>+5076677-1117/PANAMA</f>
        <v>#NAME?</v>
      </c>
      <c r="D251" s="2"/>
      <c r="E251" s="2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" t="s">
        <v>955</v>
      </c>
      <c r="B252" s="1" t="s">
        <v>956</v>
      </c>
      <c r="C252" s="2" t="str">
        <f>+5076550-4258/PANAMA</f>
        <v>#NAME?</v>
      </c>
      <c r="D252" s="2"/>
      <c r="E252" s="2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" t="s">
        <v>959</v>
      </c>
      <c r="B253" s="1" t="s">
        <v>960</v>
      </c>
      <c r="C253" s="2" t="str">
        <f>+5076747-1601/PANAMA</f>
        <v>#NAME?</v>
      </c>
      <c r="D253" s="2"/>
      <c r="E253" s="2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" t="s">
        <v>963</v>
      </c>
      <c r="B254" s="1" t="s">
        <v>964</v>
      </c>
      <c r="C254" s="1" t="s">
        <v>963</v>
      </c>
      <c r="D254" s="2"/>
      <c r="E254" s="1" t="s">
        <v>3</v>
      </c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" t="s">
        <v>967</v>
      </c>
      <c r="B255" s="1" t="s">
        <v>968</v>
      </c>
      <c r="C255" s="2" t="str">
        <f>+5076090-9633-PANAMA</f>
        <v>#NAME?</v>
      </c>
      <c r="D255" s="2"/>
      <c r="E255" s="2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" t="s">
        <v>970</v>
      </c>
      <c r="B256" s="1" t="s">
        <v>971</v>
      </c>
      <c r="C256" s="2" t="str">
        <f>+5076679-3588/PANAMA</f>
        <v>#NAME?</v>
      </c>
      <c r="D256" s="2"/>
      <c r="E256" s="2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" t="s">
        <v>973</v>
      </c>
      <c r="B257" s="1" t="s">
        <v>974</v>
      </c>
      <c r="C257" s="2" t="str">
        <f>+5076677-4420/PANAMA</f>
        <v>#NAME?</v>
      </c>
      <c r="D257" s="2"/>
      <c r="E257" s="2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">
        <v>6.6739922E7</v>
      </c>
      <c r="B258" s="1" t="s">
        <v>976</v>
      </c>
      <c r="C258" s="2" t="str">
        <f>+5076673-9922/PANAMA</f>
        <v>#NAME?</v>
      </c>
      <c r="D258" s="2"/>
      <c r="E258" s="2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" t="s">
        <v>979</v>
      </c>
      <c r="B259" s="1" t="s">
        <v>980</v>
      </c>
      <c r="C259" s="2" t="str">
        <f>+50761505152 / PANAMA</f>
        <v>#NAME?</v>
      </c>
      <c r="D259" s="2"/>
      <c r="E259" s="2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" t="s">
        <v>982</v>
      </c>
      <c r="B260" s="1" t="s">
        <v>983</v>
      </c>
      <c r="C260" s="1" t="s">
        <v>984</v>
      </c>
      <c r="D260" s="2"/>
      <c r="E260" s="2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" t="s">
        <v>987</v>
      </c>
      <c r="B261" s="1" t="s">
        <v>988</v>
      </c>
      <c r="C261" s="1">
        <v>6.6143362E7</v>
      </c>
      <c r="D261" s="2"/>
      <c r="E261" s="1" t="s">
        <v>3</v>
      </c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" t="s">
        <v>991</v>
      </c>
      <c r="B262" s="1" t="s">
        <v>992</v>
      </c>
      <c r="C262" s="2">
        <f>+5076949-9598</f>
        <v>5067351</v>
      </c>
      <c r="D262" s="2"/>
      <c r="E262" s="2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" t="s">
        <v>994</v>
      </c>
      <c r="B263" s="1" t="s">
        <v>995</v>
      </c>
      <c r="C263" s="2" t="str">
        <f>+5076017-7406/PANAMA</f>
        <v>#NAME?</v>
      </c>
      <c r="D263" s="2"/>
      <c r="E263" s="2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" t="s">
        <v>998</v>
      </c>
      <c r="B264" s="1" t="s">
        <v>1000</v>
      </c>
      <c r="C264" s="2" t="str">
        <f>+5076675-5110/PANAMA</f>
        <v>#NAME?</v>
      </c>
      <c r="D264" s="2"/>
      <c r="E264" s="1" t="s">
        <v>3</v>
      </c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" t="s">
        <v>1003</v>
      </c>
      <c r="B265" s="1" t="s">
        <v>1004</v>
      </c>
      <c r="C265" s="2" t="str">
        <f>+5076747-2734/PANAMA</f>
        <v>#NAME?</v>
      </c>
      <c r="D265" s="2"/>
      <c r="E265" s="2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" t="s">
        <v>1006</v>
      </c>
      <c r="B266" s="1" t="s">
        <v>1007</v>
      </c>
      <c r="C266" s="2" t="str">
        <f>+5076253-9190/PANAMA</f>
        <v>#NAME?</v>
      </c>
      <c r="D266" s="2"/>
      <c r="E266" s="1" t="s">
        <v>1009</v>
      </c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" t="s">
        <v>1010</v>
      </c>
      <c r="B267" s="1" t="s">
        <v>1011</v>
      </c>
      <c r="C267" s="2" t="str">
        <f>+5076010-7816/PANAMA</f>
        <v>#NAME?</v>
      </c>
      <c r="D267" s="2"/>
      <c r="E267" s="2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" t="s">
        <v>1014</v>
      </c>
      <c r="B268" s="1" t="s">
        <v>1015</v>
      </c>
      <c r="C268" s="2" t="str">
        <f>+5076112-1761/PANAMA</f>
        <v>#NAME?</v>
      </c>
      <c r="D268" s="2"/>
      <c r="E268" s="2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" t="s">
        <v>1018</v>
      </c>
      <c r="B269" s="1" t="s">
        <v>1019</v>
      </c>
      <c r="C269" s="2" t="str">
        <f>+5076249-2832//PANAMA</f>
        <v>#ERROR!</v>
      </c>
      <c r="D269" s="2"/>
      <c r="E269" s="2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" t="s">
        <v>1022</v>
      </c>
      <c r="B270" s="1" t="s">
        <v>1023</v>
      </c>
      <c r="C270" s="2" t="str">
        <f>+576894-6859/PANAMA</f>
        <v>#NAME?</v>
      </c>
      <c r="D270" s="2"/>
      <c r="E270" s="2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">
        <v>8.0251163E7</v>
      </c>
      <c r="B271" s="1" t="s">
        <v>1026</v>
      </c>
      <c r="C271" s="2" t="str">
        <f>+0573105837130 COLOMBIA</f>
        <v>#ERROR!</v>
      </c>
      <c r="D271" s="2"/>
      <c r="E271" s="2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">
        <v>1368795.0</v>
      </c>
      <c r="B272" s="1" t="s">
        <v>1029</v>
      </c>
      <c r="C272" s="2" t="str">
        <f>+0573016358717 COLOMBIA</f>
        <v>#ERROR!</v>
      </c>
      <c r="D272" s="2"/>
      <c r="E272" s="2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">
        <v>1.027280815E9</v>
      </c>
      <c r="B273" s="1" t="s">
        <v>1032</v>
      </c>
      <c r="C273" s="2" t="str">
        <f>+0573204609520 colombia</f>
        <v>#ERROR!</v>
      </c>
      <c r="D273" s="1" t="s">
        <v>1033</v>
      </c>
      <c r="E273" s="1" t="s">
        <v>1034</v>
      </c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">
        <v>2643000.0</v>
      </c>
      <c r="B274" s="1" t="s">
        <v>1036</v>
      </c>
      <c r="C274" s="2" t="str">
        <f>+5072643000 PANAMÁ</f>
        <v>#ERROR!</v>
      </c>
      <c r="D274" s="2"/>
      <c r="E274" s="2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">
        <v>8.8001791E7</v>
      </c>
      <c r="B275" s="1" t="s">
        <v>1039</v>
      </c>
      <c r="C275" s="2" t="str">
        <f>+50761502851 PANAMÁ</f>
        <v>#ERROR!</v>
      </c>
      <c r="D275" s="2"/>
      <c r="E275" s="2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">
        <v>6.6740644E7</v>
      </c>
      <c r="B276" s="1" t="s">
        <v>1042</v>
      </c>
      <c r="C276" s="2">
        <f>+50766740644</f>
        <v>50766740644</v>
      </c>
      <c r="D276" s="2"/>
      <c r="E276" s="2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">
        <v>8438168.0</v>
      </c>
      <c r="B277" s="1" t="s">
        <v>1045</v>
      </c>
      <c r="C277" s="2" t="str">
        <f>+50765653316 PANAMÁ</f>
        <v>#ERROR!</v>
      </c>
      <c r="D277" s="2"/>
      <c r="E277" s="2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" t="s">
        <v>1047</v>
      </c>
      <c r="B278" s="1" t="s">
        <v>1048</v>
      </c>
      <c r="C278" s="2" t="str">
        <f>+50766521033 PANAMÁ</f>
        <v>#ERROR!</v>
      </c>
      <c r="D278" s="2"/>
      <c r="E278" s="2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">
        <v>3939133.0</v>
      </c>
      <c r="B279" s="1" t="s">
        <v>1051</v>
      </c>
      <c r="C279" s="2" t="str">
        <f>+50762369333 PANAMÁ</f>
        <v>#ERROR!</v>
      </c>
      <c r="D279" s="2"/>
      <c r="E279" s="2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" t="s">
        <v>1053</v>
      </c>
      <c r="B280" s="1" t="s">
        <v>1054</v>
      </c>
      <c r="C280" s="2" t="str">
        <f>+50764325631 PANAMÁ</f>
        <v>#ERROR!</v>
      </c>
      <c r="D280" s="2"/>
      <c r="E280" s="2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" t="s">
        <v>1056</v>
      </c>
      <c r="B281" s="1" t="s">
        <v>1057</v>
      </c>
      <c r="C281" s="2" t="str">
        <f>+50763535252 PANAMÁ</f>
        <v>#ERROR!</v>
      </c>
      <c r="D281" s="2"/>
      <c r="E281" s="2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">
        <v>8.0242079E7</v>
      </c>
      <c r="B282" s="1" t="s">
        <v>1060</v>
      </c>
      <c r="C282" s="2" t="str">
        <f>+0573204609520 colombia</f>
        <v>#ERROR!</v>
      </c>
      <c r="D282" s="1" t="s">
        <v>1061</v>
      </c>
      <c r="E282" s="1" t="s">
        <v>1062</v>
      </c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">
        <v>1.030676921E9</v>
      </c>
      <c r="B283" s="1" t="s">
        <v>1065</v>
      </c>
      <c r="C283" s="2" t="str">
        <f>+0573102937522 colombia</f>
        <v>#ERROR!</v>
      </c>
      <c r="D283" s="2"/>
      <c r="E283" s="1" t="s">
        <v>1066</v>
      </c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">
        <v>9.3285937E7</v>
      </c>
      <c r="B284" s="1" t="s">
        <v>1069</v>
      </c>
      <c r="C284" s="2" t="str">
        <f>+0573102551809 colombia</f>
        <v>#ERROR!</v>
      </c>
      <c r="D284" s="1" t="s">
        <v>1070</v>
      </c>
      <c r="E284" s="1" t="s">
        <v>1071</v>
      </c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">
        <v>1.064725409E9</v>
      </c>
      <c r="B285" s="1" t="s">
        <v>1073</v>
      </c>
      <c r="C285" s="2">
        <f>+573144429023</f>
        <v>573144429023</v>
      </c>
      <c r="D285" s="1" t="s">
        <v>1075</v>
      </c>
      <c r="E285" s="1" t="s">
        <v>1076</v>
      </c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">
        <v>6.1119357E7</v>
      </c>
      <c r="B286" s="1" t="s">
        <v>1078</v>
      </c>
      <c r="C286" s="2" t="str">
        <f>+50763790170 PANAMÁ</f>
        <v>#ERROR!</v>
      </c>
      <c r="D286" s="2"/>
      <c r="E286" s="2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">
        <v>6.6136666E7</v>
      </c>
      <c r="B287" s="1" t="s">
        <v>1080</v>
      </c>
      <c r="C287" s="2">
        <f>+50766136666</f>
        <v>50766136666</v>
      </c>
      <c r="D287" s="2"/>
      <c r="E287" s="2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">
        <v>8.606407E7</v>
      </c>
      <c r="B288" s="1" t="s">
        <v>1083</v>
      </c>
      <c r="C288" s="2" t="str">
        <f>+50769365948 PANAMÁ</f>
        <v>#ERROR!</v>
      </c>
      <c r="D288" s="2"/>
      <c r="E288" s="2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">
        <v>7.9729219E7</v>
      </c>
      <c r="B289" s="1" t="s">
        <v>1085</v>
      </c>
      <c r="C289" s="2" t="str">
        <f>+0573103226840 colombia</f>
        <v>#ERROR!</v>
      </c>
      <c r="D289" s="1" t="s">
        <v>1087</v>
      </c>
      <c r="E289" s="1" t="s">
        <v>1088</v>
      </c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">
        <v>1.3993585E7</v>
      </c>
      <c r="B290" s="1" t="s">
        <v>1090</v>
      </c>
      <c r="C290" s="2" t="str">
        <f>+0573125095932 colombia</f>
        <v>#ERROR!</v>
      </c>
      <c r="D290" s="1" t="s">
        <v>1091</v>
      </c>
      <c r="E290" s="1" t="s">
        <v>1092</v>
      </c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">
        <v>1.3929086E7</v>
      </c>
      <c r="B291" s="1" t="s">
        <v>1095</v>
      </c>
      <c r="C291" s="2" t="str">
        <f>+0573132251583 COLOMBIA</f>
        <v>#ERROR!</v>
      </c>
      <c r="D291" s="2"/>
      <c r="E291" s="2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">
        <v>1.024485506E9</v>
      </c>
      <c r="B292" s="1" t="s">
        <v>1097</v>
      </c>
      <c r="C292" s="2" t="str">
        <f>+0573057154880 colombia</f>
        <v>#ERROR!</v>
      </c>
      <c r="D292" s="1" t="s">
        <v>1098</v>
      </c>
      <c r="E292" s="1" t="s">
        <v>1100</v>
      </c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">
        <v>1.005690159E9</v>
      </c>
      <c r="B293" s="1" t="s">
        <v>1102</v>
      </c>
      <c r="C293" s="2" t="str">
        <f>+0573503448779 colombia</f>
        <v>#ERROR!</v>
      </c>
      <c r="D293" s="1" t="s">
        <v>1104</v>
      </c>
      <c r="E293" s="1" t="s">
        <v>1105</v>
      </c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">
        <v>1.098624897E9</v>
      </c>
      <c r="B294" s="1" t="s">
        <v>1106</v>
      </c>
      <c r="C294" s="2" t="str">
        <f>+0573138203253 COLOMBIA</f>
        <v>#ERROR!</v>
      </c>
      <c r="D294" s="2"/>
      <c r="E294" s="1" t="s">
        <v>1108</v>
      </c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">
        <v>1.7638496E7</v>
      </c>
      <c r="B295" s="1" t="s">
        <v>1110</v>
      </c>
      <c r="C295" s="2" t="str">
        <f>+0573133056082 colombia</f>
        <v>#ERROR!</v>
      </c>
      <c r="D295" s="1" t="s">
        <v>1111</v>
      </c>
      <c r="E295" s="1" t="s">
        <v>1112</v>
      </c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">
        <v>6362899.0</v>
      </c>
      <c r="B296" s="1" t="s">
        <v>1114</v>
      </c>
      <c r="C296" s="2" t="str">
        <f>+0573175861525 COLOMBIA</f>
        <v>#ERROR!</v>
      </c>
      <c r="D296" s="2"/>
      <c r="E296" s="2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">
        <v>7.9281863E7</v>
      </c>
      <c r="B297" s="1" t="s">
        <v>1116</v>
      </c>
      <c r="C297" s="2" t="str">
        <f>+0573004818317 COLOMBIA</f>
        <v>#ERROR!</v>
      </c>
      <c r="D297" s="2"/>
      <c r="E297" s="2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">
        <v>7.9946644E7</v>
      </c>
      <c r="B298" s="1" t="s">
        <v>1119</v>
      </c>
      <c r="C298" s="2" t="str">
        <f>+0573002929884 colombia</f>
        <v>#ERROR!</v>
      </c>
      <c r="D298" s="1" t="s">
        <v>1120</v>
      </c>
      <c r="E298" s="2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">
        <v>1.069712712E9</v>
      </c>
      <c r="B299" s="1" t="s">
        <v>1121</v>
      </c>
      <c r="C299" s="2" t="str">
        <f>+0573134590095 COLOMBIA</f>
        <v>#ERROR!</v>
      </c>
      <c r="D299" s="2"/>
      <c r="E299" s="2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">
        <v>1.004098167E9</v>
      </c>
      <c r="B300" s="1" t="s">
        <v>1123</v>
      </c>
      <c r="C300" s="2" t="str">
        <f>+0573008350680 colombia</f>
        <v>#ERROR!</v>
      </c>
      <c r="D300" s="1" t="s">
        <v>1125</v>
      </c>
      <c r="E300" s="2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">
        <v>7.9904152E7</v>
      </c>
      <c r="B301" s="1" t="s">
        <v>1128</v>
      </c>
      <c r="C301" s="2">
        <f>+573195540096</f>
        <v>573195540096</v>
      </c>
      <c r="D301" s="2"/>
      <c r="E301" s="2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">
        <v>5.2151603E7</v>
      </c>
      <c r="B302" s="1" t="s">
        <v>1131</v>
      </c>
      <c r="C302" s="2" t="str">
        <f>+0573112329599 colombia</f>
        <v>#ERROR!</v>
      </c>
      <c r="D302" s="1" t="s">
        <v>1132</v>
      </c>
      <c r="E302" s="1" t="s">
        <v>1133</v>
      </c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" t="s">
        <v>1136</v>
      </c>
      <c r="B303" s="1" t="s">
        <v>1137</v>
      </c>
      <c r="C303" s="2" t="str">
        <f>+50766139606 PANAMÁ</f>
        <v>#ERROR!</v>
      </c>
      <c r="D303" s="2"/>
      <c r="E303" s="2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" t="s">
        <v>1139</v>
      </c>
      <c r="B304" s="1" t="s">
        <v>1140</v>
      </c>
      <c r="C304" s="2" t="str">
        <f>+50764791042 PANAMÁ</f>
        <v>#ERROR!</v>
      </c>
      <c r="D304" s="2"/>
      <c r="E304" s="2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" t="s">
        <v>1143</v>
      </c>
      <c r="B305" s="1" t="s">
        <v>1144</v>
      </c>
      <c r="C305" s="2" t="str">
        <f>+50761422655 PANAMÁ</f>
        <v>#ERROR!</v>
      </c>
      <c r="D305" s="2"/>
      <c r="E305" s="2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" t="s">
        <v>1146</v>
      </c>
      <c r="B306" s="1" t="s">
        <v>1147</v>
      </c>
      <c r="C306" s="2" t="str">
        <f>+50743177847 PANAMÁ</f>
        <v>#ERROR!</v>
      </c>
      <c r="D306" s="2"/>
      <c r="E306" s="2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">
        <v>7.9414373E7</v>
      </c>
      <c r="B307" s="1" t="s">
        <v>1149</v>
      </c>
      <c r="C307" s="2" t="str">
        <f>+0573043890599 colombia</f>
        <v>#ERROR!</v>
      </c>
      <c r="D307" s="2"/>
      <c r="E307" s="2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1" t="s">
        <v>1152</v>
      </c>
      <c r="B308" s="1" t="s">
        <v>1153</v>
      </c>
      <c r="C308" s="2" t="str">
        <f>+50764184848 PANAMÁ</f>
        <v>#ERROR!</v>
      </c>
      <c r="D308" s="2"/>
      <c r="E308" s="2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">
        <v>1.9226167E7</v>
      </c>
      <c r="B309" s="1" t="s">
        <v>1155</v>
      </c>
      <c r="C309" s="2">
        <f>+573103236493</f>
        <v>573103236493</v>
      </c>
      <c r="D309" s="2"/>
      <c r="E309" s="2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">
        <v>6.3453108E7</v>
      </c>
      <c r="B310" s="1" t="s">
        <v>1157</v>
      </c>
      <c r="C310" s="2" t="str">
        <f>+50763453108 PANAMÁ</f>
        <v>#ERROR!</v>
      </c>
      <c r="D310" s="2"/>
      <c r="E310" s="2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">
        <v>8.0171642E7</v>
      </c>
      <c r="B311" s="1" t="s">
        <v>1160</v>
      </c>
      <c r="C311" s="2" t="str">
        <f>+0573505881626 colombia</f>
        <v>#ERROR!</v>
      </c>
      <c r="D311" s="1" t="s">
        <v>1161</v>
      </c>
      <c r="E311" s="1" t="s">
        <v>1162</v>
      </c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" t="s">
        <v>1164</v>
      </c>
      <c r="B312" s="1" t="s">
        <v>1165</v>
      </c>
      <c r="C312" s="2" t="str">
        <f>+50766126127 PANAMÁ</f>
        <v>#ERROR!</v>
      </c>
      <c r="D312" s="2"/>
      <c r="E312" s="2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">
        <v>3080133.0</v>
      </c>
      <c r="B313" s="1" t="s">
        <v>1168</v>
      </c>
      <c r="C313" s="2" t="str">
        <f>+0573114810091 colombia</f>
        <v>#ERROR!</v>
      </c>
      <c r="D313" s="2"/>
      <c r="E313" s="2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" t="s">
        <v>1170</v>
      </c>
      <c r="B314" s="1" t="s">
        <v>1171</v>
      </c>
      <c r="C314" s="2" t="str">
        <f>+50766167806 PANAMÁ</f>
        <v>#ERROR!</v>
      </c>
      <c r="D314" s="2"/>
      <c r="E314" s="2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">
        <v>1.023243908E9</v>
      </c>
      <c r="B315" s="1" t="s">
        <v>1173</v>
      </c>
      <c r="C315" s="2" t="str">
        <f>+0573007345409 colombia</f>
        <v>#ERROR!</v>
      </c>
      <c r="D315" s="1" t="s">
        <v>1175</v>
      </c>
      <c r="E315" s="1" t="s">
        <v>1176</v>
      </c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">
        <v>1.094906434E9</v>
      </c>
      <c r="B316" s="1" t="s">
        <v>1178</v>
      </c>
      <c r="C316" s="2" t="str">
        <f>+0573166197074 colombia</f>
        <v>#ERROR!</v>
      </c>
      <c r="D316" s="2"/>
      <c r="E316" s="1" t="s">
        <v>1179</v>
      </c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">
        <v>8.0414247E7</v>
      </c>
      <c r="B317" s="1" t="s">
        <v>1182</v>
      </c>
      <c r="C317" s="2">
        <f>+573103438446</f>
        <v>573103438446</v>
      </c>
      <c r="D317" s="1" t="s">
        <v>1183</v>
      </c>
      <c r="E317" s="1" t="s">
        <v>1184</v>
      </c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">
        <v>6.6120591E7</v>
      </c>
      <c r="B318" s="1" t="s">
        <v>1186</v>
      </c>
      <c r="C318" s="2" t="str">
        <f>+50766120591 PANAMÁ</f>
        <v>#ERROR!</v>
      </c>
      <c r="D318" s="2"/>
      <c r="E318" s="2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">
        <v>1.143388339E9</v>
      </c>
      <c r="B319" s="1" t="s">
        <v>1188</v>
      </c>
      <c r="C319" s="1" t="s">
        <v>1189</v>
      </c>
      <c r="D319" s="1" t="s">
        <v>1190</v>
      </c>
      <c r="E319" s="1" t="s">
        <v>1191</v>
      </c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" t="s">
        <v>1194</v>
      </c>
      <c r="B320" s="1" t="s">
        <v>1195</v>
      </c>
      <c r="C320" s="2" t="str">
        <f>+50766167600 PANAMÁ</f>
        <v>#ERROR!</v>
      </c>
      <c r="D320" s="2"/>
      <c r="E320" s="2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">
        <v>8.5466906E7</v>
      </c>
      <c r="B321" s="1" t="s">
        <v>1198</v>
      </c>
      <c r="C321" s="2" t="str">
        <f>+0573133810769 colombia</f>
        <v>#ERROR!</v>
      </c>
      <c r="D321" s="1" t="s">
        <v>1200</v>
      </c>
      <c r="E321" s="1" t="s">
        <v>1076</v>
      </c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" t="s">
        <v>1202</v>
      </c>
      <c r="B322" s="1" t="s">
        <v>1203</v>
      </c>
      <c r="C322" s="2" t="str">
        <f>+50766145549 PANAMÁ</f>
        <v>#ERROR!</v>
      </c>
      <c r="D322" s="2"/>
      <c r="E322" s="2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">
        <v>1.074918779E9</v>
      </c>
      <c r="B323" s="1" t="s">
        <v>1205</v>
      </c>
      <c r="C323" s="2">
        <f>+5731167548618</f>
        <v>5731167548618</v>
      </c>
      <c r="D323" s="2"/>
      <c r="E323" s="1" t="s">
        <v>1207</v>
      </c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">
        <v>6.61399E7</v>
      </c>
      <c r="B324" s="1" t="s">
        <v>1208</v>
      </c>
      <c r="C324" s="2" t="str">
        <f>+50766139900 PANAMÁ</f>
        <v>#ERROR!</v>
      </c>
      <c r="D324" s="2"/>
      <c r="E324" s="2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">
        <v>7.9414424E7</v>
      </c>
      <c r="B325" s="1" t="s">
        <v>1211</v>
      </c>
      <c r="C325" s="2">
        <f>+573143544736</f>
        <v>573143544736</v>
      </c>
      <c r="D325" s="2"/>
      <c r="E325" s="1" t="s">
        <v>1213</v>
      </c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">
        <v>6.5394921E7</v>
      </c>
      <c r="B326" s="1" t="s">
        <v>1215</v>
      </c>
      <c r="C326" s="2" t="str">
        <f>+50765394921 PANAMÁ</f>
        <v>#ERROR!</v>
      </c>
      <c r="D326" s="2"/>
      <c r="E326" s="2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" t="s">
        <v>1218</v>
      </c>
      <c r="B327" s="1" t="s">
        <v>1219</v>
      </c>
      <c r="C327" s="2">
        <f>+50768687443</f>
        <v>50768687443</v>
      </c>
      <c r="D327" s="2"/>
      <c r="E327" s="2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" t="s">
        <v>1221</v>
      </c>
      <c r="B328" s="1" t="s">
        <v>1222</v>
      </c>
      <c r="C328" s="2" t="str">
        <f>+5076670553 PANAMÁ</f>
        <v>#ERROR!</v>
      </c>
      <c r="D328" s="2"/>
      <c r="E328" s="2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" t="s">
        <v>1225</v>
      </c>
      <c r="B329" s="1" t="s">
        <v>1226</v>
      </c>
      <c r="C329" s="2" t="str">
        <f>+50769806821 PANAMÁ</f>
        <v>#ERROR!</v>
      </c>
      <c r="D329" s="2"/>
      <c r="E329" s="2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">
        <v>6.6119509E7</v>
      </c>
      <c r="B330" s="1" t="s">
        <v>1228</v>
      </c>
      <c r="C330" s="2">
        <f>+50766119509</f>
        <v>50766119509</v>
      </c>
      <c r="D330" s="2"/>
      <c r="E330" s="2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" t="s">
        <v>1231</v>
      </c>
      <c r="B331" s="1" t="s">
        <v>1232</v>
      </c>
      <c r="C331" s="2" t="str">
        <f>+50765361946 PANAMÁ</f>
        <v>#ERROR!</v>
      </c>
      <c r="D331" s="2"/>
      <c r="E331" s="2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">
        <v>8.0730018E7</v>
      </c>
      <c r="B332" s="1" t="s">
        <v>1234</v>
      </c>
      <c r="C332" s="2">
        <f>+573153018203</f>
        <v>573153018203</v>
      </c>
      <c r="D332" s="2"/>
      <c r="E332" s="2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">
        <v>0.0</v>
      </c>
      <c r="B333" s="1" t="s">
        <v>1237</v>
      </c>
      <c r="C333" s="2">
        <f>+50766128017</f>
        <v>50766128017</v>
      </c>
      <c r="D333" s="2"/>
      <c r="E333" s="2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" t="s">
        <v>1240</v>
      </c>
      <c r="B334" s="1" t="s">
        <v>1241</v>
      </c>
      <c r="C334" s="2" t="str">
        <f>+50767477856 PANAMÁ</f>
        <v>#ERROR!</v>
      </c>
      <c r="D334" s="2"/>
      <c r="E334" s="2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">
        <v>1.9335645E7</v>
      </c>
      <c r="B335" s="1" t="s">
        <v>1243</v>
      </c>
      <c r="C335" s="2" t="str">
        <f>+0573158744268 COLOMBIA</f>
        <v>#ERROR!</v>
      </c>
      <c r="D335" s="2"/>
      <c r="E335" s="1" t="s">
        <v>1244</v>
      </c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" t="s">
        <v>1246</v>
      </c>
      <c r="B336" s="1" t="s">
        <v>1247</v>
      </c>
      <c r="C336" s="2" t="str">
        <f>+50767958073 PANAMÁ</f>
        <v>#ERROR!</v>
      </c>
      <c r="D336" s="2"/>
      <c r="E336" s="2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" t="s">
        <v>1249</v>
      </c>
      <c r="B337" s="1" t="s">
        <v>1250</v>
      </c>
      <c r="C337" s="2" t="str">
        <f>+50760726388 PANAMÁ</f>
        <v>#ERROR!</v>
      </c>
      <c r="D337" s="2"/>
      <c r="E337" s="2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" t="s">
        <v>1252</v>
      </c>
      <c r="B338" s="1" t="s">
        <v>1253</v>
      </c>
      <c r="C338" s="2" t="str">
        <f>+50767628328 PANAMÁ</f>
        <v>#ERROR!</v>
      </c>
      <c r="D338" s="2"/>
      <c r="E338" s="1" t="s">
        <v>1255</v>
      </c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" t="s">
        <v>1257</v>
      </c>
      <c r="B339" s="1" t="s">
        <v>1258</v>
      </c>
      <c r="C339" s="2" t="str">
        <f>+50761292451 PANAMÁ</f>
        <v>#ERROR!</v>
      </c>
      <c r="D339" s="2"/>
      <c r="E339" s="1" t="s">
        <v>1259</v>
      </c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" t="s">
        <v>1262</v>
      </c>
      <c r="B340" s="1" t="s">
        <v>1263</v>
      </c>
      <c r="C340" s="2" t="str">
        <f>+50768899123 PANAMÁ</f>
        <v>#ERROR!</v>
      </c>
      <c r="D340" s="2"/>
      <c r="E340" s="1" t="s">
        <v>1264</v>
      </c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" t="s">
        <v>1266</v>
      </c>
      <c r="B341" s="1" t="s">
        <v>1267</v>
      </c>
      <c r="C341" s="2" t="str">
        <f>+50766722434 COLÓN/PANAMÁ</f>
        <v>#ERROR!</v>
      </c>
      <c r="D341" s="2"/>
      <c r="E341" s="1" t="s">
        <v>1269</v>
      </c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">
        <v>1.018509538E9</v>
      </c>
      <c r="B342" s="1" t="s">
        <v>1271</v>
      </c>
      <c r="C342" s="2" t="str">
        <f>+0573214904542 COLOMBIA</f>
        <v>#ERROR!</v>
      </c>
      <c r="D342" s="2"/>
      <c r="E342" s="1" t="s">
        <v>1272</v>
      </c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">
        <v>1.110560547E9</v>
      </c>
      <c r="B343" s="1" t="s">
        <v>1275</v>
      </c>
      <c r="C343" s="2">
        <f>+573107611339</f>
        <v>573107611339</v>
      </c>
      <c r="D343" s="2"/>
      <c r="E343" s="1" t="s">
        <v>1272</v>
      </c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">
        <v>1.032445166E9</v>
      </c>
      <c r="B344" s="1" t="s">
        <v>1279</v>
      </c>
      <c r="C344" s="2" t="str">
        <f>+0573148631040 COLOMBIA</f>
        <v>#ERROR!</v>
      </c>
      <c r="D344" s="2"/>
      <c r="E344" s="1" t="s">
        <v>1272</v>
      </c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">
        <v>1.02078525E8</v>
      </c>
      <c r="B345" s="1" t="s">
        <v>1283</v>
      </c>
      <c r="C345" s="2" t="str">
        <f>+0573157585382 COLOMBIA</f>
        <v>#ERROR!</v>
      </c>
      <c r="D345" s="2"/>
      <c r="E345" s="2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">
        <v>8.0851297E7</v>
      </c>
      <c r="B346" s="1" t="s">
        <v>1285</v>
      </c>
      <c r="C346" s="2" t="str">
        <f>+0573015475708 COLOMBIA</f>
        <v>#ERROR!</v>
      </c>
      <c r="D346" s="2"/>
      <c r="E346" s="1" t="s">
        <v>1287</v>
      </c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">
        <v>1.127626042E9</v>
      </c>
      <c r="B347" s="1" t="s">
        <v>1288</v>
      </c>
      <c r="C347" s="2" t="str">
        <f>+0573206084948 COLOMBIA</f>
        <v>#ERROR!</v>
      </c>
      <c r="D347" s="2"/>
      <c r="E347" s="1" t="s">
        <v>1272</v>
      </c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">
        <v>8.0069958E7</v>
      </c>
      <c r="B348" s="1" t="s">
        <v>1290</v>
      </c>
      <c r="C348" s="2" t="str">
        <f>+0573125858645 COLOMBIA</f>
        <v>#ERROR!</v>
      </c>
      <c r="D348" s="2"/>
      <c r="E348" s="1" t="s">
        <v>1291</v>
      </c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" t="s">
        <v>1294</v>
      </c>
      <c r="B349" s="1" t="s">
        <v>1295</v>
      </c>
      <c r="C349" s="2" t="str">
        <f>+0573002095684 COLOMBIA</f>
        <v>#ERROR!</v>
      </c>
      <c r="D349" s="2"/>
      <c r="E349" s="1" t="s">
        <v>1291</v>
      </c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" t="s">
        <v>1297</v>
      </c>
      <c r="B350" s="1" t="s">
        <v>1298</v>
      </c>
      <c r="C350" s="2" t="str">
        <f>+50766756300 PANAMAÁ</f>
        <v>#ERROR!</v>
      </c>
      <c r="D350" s="2"/>
      <c r="E350" s="1" t="s">
        <v>3</v>
      </c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">
        <v>1.017217851E9</v>
      </c>
      <c r="B351" s="1" t="s">
        <v>1301</v>
      </c>
      <c r="C351" s="2">
        <f>+573007779459</f>
        <v>573007779459</v>
      </c>
      <c r="D351" s="2"/>
      <c r="E351" s="1" t="s">
        <v>1291</v>
      </c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">
        <v>6.6769132E7</v>
      </c>
      <c r="B352" s="1" t="s">
        <v>1305</v>
      </c>
      <c r="C352" s="2"/>
      <c r="D352" s="2"/>
      <c r="E352" s="2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">
        <v>1.020733114E9</v>
      </c>
      <c r="B353" s="1" t="s">
        <v>1307</v>
      </c>
      <c r="C353" s="2" t="str">
        <f>+0573124477106 COLOMBIA</f>
        <v>#ERROR!</v>
      </c>
      <c r="D353" s="2"/>
      <c r="E353" s="1" t="s">
        <v>1308</v>
      </c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">
        <v>8.0165154E7</v>
      </c>
      <c r="B354" s="1" t="s">
        <v>1311</v>
      </c>
      <c r="C354" s="2" t="str">
        <f>+0573017884240 COLOMBIA</f>
        <v>#ERROR!</v>
      </c>
      <c r="D354" s="2"/>
      <c r="E354" s="2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">
        <v>1.140842469E9</v>
      </c>
      <c r="B355" s="1" t="s">
        <v>1313</v>
      </c>
      <c r="C355" s="2" t="str">
        <f>+0573013391090 COLOMBIA</f>
        <v>#ERROR!</v>
      </c>
      <c r="D355" s="2"/>
      <c r="E355" s="1" t="s">
        <v>1315</v>
      </c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">
        <v>1.032423525E9</v>
      </c>
      <c r="B356" s="1" t="s">
        <v>1316</v>
      </c>
      <c r="C356" s="2" t="str">
        <f>+0573162343152 COLOMBIA</f>
        <v>#ERROR!</v>
      </c>
      <c r="D356" s="2"/>
      <c r="E356" s="2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">
        <v>1.032440652E9</v>
      </c>
      <c r="B357" s="1" t="s">
        <v>1319</v>
      </c>
      <c r="C357" s="2" t="str">
        <f>+0573015649733 COLOMBIA</f>
        <v>#ERROR!</v>
      </c>
      <c r="D357" s="2"/>
      <c r="E357" s="1" t="s">
        <v>1320</v>
      </c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">
        <v>1.020833034E9</v>
      </c>
      <c r="B358" s="1" t="s">
        <v>1322</v>
      </c>
      <c r="C358" s="2" t="str">
        <f>+0573158968912 COLOMBIA</f>
        <v>#ERROR!</v>
      </c>
      <c r="D358" s="2"/>
      <c r="E358" s="1" t="s">
        <v>1323</v>
      </c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">
        <v>6.5774057E7</v>
      </c>
      <c r="B359" s="1" t="s">
        <v>1325</v>
      </c>
      <c r="C359" s="2" t="str">
        <f>+0573114619121 COLOMBIA</f>
        <v>#ERROR!</v>
      </c>
      <c r="D359" s="2"/>
      <c r="E359" s="1" t="s">
        <v>1326</v>
      </c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">
        <v>1.030580404E9</v>
      </c>
      <c r="B360" s="1" t="s">
        <v>1328</v>
      </c>
      <c r="C360" s="2" t="str">
        <f>+0573214710942 COLOMBIA</f>
        <v>#ERROR!</v>
      </c>
      <c r="D360" s="2"/>
      <c r="E360" s="1" t="s">
        <v>1329</v>
      </c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">
        <v>1.094905362E9</v>
      </c>
      <c r="B361" s="1" t="s">
        <v>1332</v>
      </c>
      <c r="C361" s="2" t="str">
        <f>+0573146915263 COLOMBIA</f>
        <v>#ERROR!</v>
      </c>
      <c r="D361" s="2"/>
      <c r="E361" s="2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">
        <v>8.0191891E7</v>
      </c>
      <c r="B362" s="1" t="s">
        <v>1334</v>
      </c>
      <c r="C362" s="2" t="str">
        <f>+0573013701331 COLOMBIA</f>
        <v>#ERROR!</v>
      </c>
      <c r="D362" s="2"/>
      <c r="E362" s="1" t="s">
        <v>1335</v>
      </c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">
        <v>1.032473079E9</v>
      </c>
      <c r="B363" s="1" t="s">
        <v>1337</v>
      </c>
      <c r="C363" s="2" t="str">
        <f>+0573168676403 COLOMBIA</f>
        <v>#ERROR!</v>
      </c>
      <c r="D363" s="2"/>
      <c r="E363" s="1" t="s">
        <v>1339</v>
      </c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">
        <v>1.020828849E9</v>
      </c>
      <c r="B364" s="1" t="s">
        <v>1341</v>
      </c>
      <c r="C364" s="2" t="str">
        <f>+0573003597882 COLOMBIA</f>
        <v>#ERROR!</v>
      </c>
      <c r="D364" s="2"/>
      <c r="E364" s="1" t="s">
        <v>1342</v>
      </c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">
        <v>1.136880867E9</v>
      </c>
      <c r="B365" s="1" t="s">
        <v>1344</v>
      </c>
      <c r="C365" s="2" t="str">
        <f>+0573103671903 COLOMBIA</f>
        <v>#ERROR!</v>
      </c>
      <c r="D365" s="2"/>
      <c r="E365" s="1" t="s">
        <v>1345</v>
      </c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">
        <v>1.032476748E9</v>
      </c>
      <c r="B366" s="1" t="s">
        <v>1348</v>
      </c>
      <c r="C366" s="2" t="str">
        <f>+0573193409006 COLOMBIA</f>
        <v>#ERROR!</v>
      </c>
      <c r="D366" s="2"/>
      <c r="E366" s="1" t="s">
        <v>1349</v>
      </c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">
        <v>7.9825414E7</v>
      </c>
      <c r="B367" s="1" t="s">
        <v>1352</v>
      </c>
      <c r="C367" s="2">
        <f>+573203017228</f>
        <v>573203017228</v>
      </c>
      <c r="D367" s="2"/>
      <c r="E367" s="2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">
        <v>8399916.0</v>
      </c>
      <c r="B368" s="1" t="s">
        <v>1355</v>
      </c>
      <c r="C368" s="2">
        <f>+50764509979</f>
        <v>50764509979</v>
      </c>
      <c r="D368" s="2"/>
      <c r="E368" s="2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">
        <v>1.000492788E9</v>
      </c>
      <c r="B369" s="1" t="s">
        <v>1358</v>
      </c>
      <c r="C369" s="2" t="str">
        <f>+0573012871776 COLOMBIA</f>
        <v>#ERROR!</v>
      </c>
      <c r="D369" s="2"/>
      <c r="E369" s="2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">
        <v>8.0750983E7</v>
      </c>
      <c r="B370" s="1" t="s">
        <v>1360</v>
      </c>
      <c r="C370" s="2">
        <f>+573214114338</f>
        <v>573214114338</v>
      </c>
      <c r="D370" s="2"/>
      <c r="E370" s="1" t="s">
        <v>1362</v>
      </c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">
        <v>7.9303121E7</v>
      </c>
      <c r="B371" s="1" t="s">
        <v>1364</v>
      </c>
      <c r="C371" s="2">
        <f>+573219000465</f>
        <v>573219000465</v>
      </c>
      <c r="D371" s="2"/>
      <c r="E371" s="1" t="s">
        <v>1365</v>
      </c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">
        <v>8.0199559E7</v>
      </c>
      <c r="B372" s="1" t="s">
        <v>1368</v>
      </c>
      <c r="C372" s="2"/>
      <c r="D372" s="2"/>
      <c r="E372" s="2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">
        <v>7.7186521E7</v>
      </c>
      <c r="B373" s="1" t="s">
        <v>1370</v>
      </c>
      <c r="C373" s="2">
        <f>+573203457579</f>
        <v>573203457579</v>
      </c>
      <c r="D373" s="2"/>
      <c r="E373" s="1" t="s">
        <v>1371</v>
      </c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">
        <v>7701807.0</v>
      </c>
      <c r="B374" s="1" t="s">
        <v>1373</v>
      </c>
      <c r="C374" s="2">
        <f>+573112128911</f>
        <v>573112128911</v>
      </c>
      <c r="D374" s="2"/>
      <c r="E374" s="1" t="s">
        <v>1375</v>
      </c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">
        <v>1.010222461E9</v>
      </c>
      <c r="B375" s="1" t="s">
        <v>1377</v>
      </c>
      <c r="C375" s="2">
        <f>+573188658658</f>
        <v>573188658658</v>
      </c>
      <c r="D375" s="2"/>
      <c r="E375" s="1" t="s">
        <v>1378</v>
      </c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">
        <v>1.110544123E9</v>
      </c>
      <c r="B376" s="1" t="s">
        <v>1380</v>
      </c>
      <c r="C376" s="2"/>
      <c r="D376" s="2"/>
      <c r="E376" s="1" t="s">
        <v>1381</v>
      </c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">
        <v>1.016037518E9</v>
      </c>
      <c r="B377" s="1" t="s">
        <v>1384</v>
      </c>
      <c r="C377" s="2">
        <f>+573134783192</f>
        <v>573134783192</v>
      </c>
      <c r="D377" s="1" t="s">
        <v>1386</v>
      </c>
      <c r="E377" s="1" t="s">
        <v>1387</v>
      </c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">
        <v>7.2262514E7</v>
      </c>
      <c r="B378" s="1" t="s">
        <v>1388</v>
      </c>
      <c r="C378" s="2">
        <f>+573006597582</f>
        <v>573006597582</v>
      </c>
      <c r="D378" s="2"/>
      <c r="E378" s="1" t="s">
        <v>1390</v>
      </c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">
        <v>8.077025E7</v>
      </c>
      <c r="B379" s="1" t="s">
        <v>1392</v>
      </c>
      <c r="C379" s="2" t="str">
        <f>+0573104735629 COLOMBIA</f>
        <v>#ERROR!</v>
      </c>
      <c r="D379" s="2"/>
      <c r="E379" s="1" t="s">
        <v>1393</v>
      </c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">
        <v>8.0193031E7</v>
      </c>
      <c r="B380" s="1" t="s">
        <v>1396</v>
      </c>
      <c r="C380" s="2">
        <f>+573173770815</f>
        <v>573173770815</v>
      </c>
      <c r="D380" s="2"/>
      <c r="E380" s="1" t="s">
        <v>1397</v>
      </c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">
        <v>8.0050627E7</v>
      </c>
      <c r="B381" s="1" t="s">
        <v>1400</v>
      </c>
      <c r="C381" s="2" t="str">
        <f>+0573042973818 COLOMBIA</f>
        <v>#ERROR!</v>
      </c>
      <c r="D381" s="2"/>
      <c r="E381" s="1" t="s">
        <v>1401</v>
      </c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">
        <v>8.0017904E7</v>
      </c>
      <c r="B382" s="1" t="s">
        <v>1403</v>
      </c>
      <c r="C382" s="2" t="str">
        <f>+0573212717312 COLOMBIA</f>
        <v>#ERROR!</v>
      </c>
      <c r="D382" s="1" t="s">
        <v>1404</v>
      </c>
      <c r="E382" s="1" t="s">
        <v>1405</v>
      </c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">
        <v>9.1255089E7</v>
      </c>
      <c r="B383" s="1" t="s">
        <v>1407</v>
      </c>
      <c r="C383" s="2" t="str">
        <f>+0573208083029 COLOMBIA</f>
        <v>#ERROR!</v>
      </c>
      <c r="D383" s="2"/>
      <c r="E383" s="1" t="s">
        <v>1408</v>
      </c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">
        <v>1.001299814E9</v>
      </c>
      <c r="B384" s="1" t="s">
        <v>1410</v>
      </c>
      <c r="C384" s="2" t="str">
        <f>+0573043757199 COLOMBIA</f>
        <v>#ERROR!</v>
      </c>
      <c r="D384" s="1" t="s">
        <v>1411</v>
      </c>
      <c r="E384" s="1" t="s">
        <v>1412</v>
      </c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">
        <v>1.223814E7</v>
      </c>
      <c r="B385" s="1" t="s">
        <v>1415</v>
      </c>
      <c r="C385" s="2" t="str">
        <f>+0573142598704 COLOMBIA</f>
        <v>#ERROR!</v>
      </c>
      <c r="D385" s="1" t="s">
        <v>1416</v>
      </c>
      <c r="E385" s="2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">
        <v>1.6188547E7</v>
      </c>
      <c r="B386" s="1" t="s">
        <v>1418</v>
      </c>
      <c r="C386" s="2" t="str">
        <f>+0573223998372 COLOMBIA</f>
        <v>#ERROR!</v>
      </c>
      <c r="D386" s="2"/>
      <c r="E386" s="1" t="s">
        <v>1419</v>
      </c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">
        <v>7315469.0</v>
      </c>
      <c r="B387" s="1" t="s">
        <v>1421</v>
      </c>
      <c r="C387" s="2" t="str">
        <f>+0573134933380 COLOMBIA</f>
        <v>#ERROR!</v>
      </c>
      <c r="D387" s="1" t="s">
        <v>1422</v>
      </c>
      <c r="E387" s="1" t="s">
        <v>1423</v>
      </c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">
        <v>1.071609191E9</v>
      </c>
      <c r="B388" s="1" t="s">
        <v>1425</v>
      </c>
      <c r="C388" s="2" t="str">
        <f>+0573102977170 COLOMBIA</f>
        <v>#ERROR!</v>
      </c>
      <c r="D388" s="1" t="s">
        <v>1426</v>
      </c>
      <c r="E388" s="1" t="s">
        <v>1427</v>
      </c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">
        <v>1.030676936E9</v>
      </c>
      <c r="B389" s="1" t="s">
        <v>1429</v>
      </c>
      <c r="C389" s="2" t="str">
        <f>+0573148321061 COLOMBIA</f>
        <v>#ERROR!</v>
      </c>
      <c r="D389" s="2"/>
      <c r="E389" s="2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">
        <v>1.125808439E9</v>
      </c>
      <c r="B390" s="1" t="s">
        <v>1432</v>
      </c>
      <c r="C390" s="2" t="str">
        <f>+0573173055291 COLOMBIA</f>
        <v>#ERROR!</v>
      </c>
      <c r="D390" s="1" t="s">
        <v>1433</v>
      </c>
      <c r="E390" s="1" t="s">
        <v>1434</v>
      </c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" t="s">
        <v>1436</v>
      </c>
      <c r="B391" s="1" t="s">
        <v>1437</v>
      </c>
      <c r="C391" s="2" t="str">
        <f>+5076747-2061/PANAMA</f>
        <v>#NAME?</v>
      </c>
      <c r="D391" s="2"/>
      <c r="E391" s="2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" t="s">
        <v>1440</v>
      </c>
      <c r="B392" s="1" t="s">
        <v>1441</v>
      </c>
      <c r="C392" s="2" t="str">
        <f>+5076692-29/PANAMA</f>
        <v>#NAME?</v>
      </c>
      <c r="D392" s="2"/>
      <c r="E392" s="2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">
        <v>356842.0</v>
      </c>
      <c r="B393" s="1" t="s">
        <v>1443</v>
      </c>
      <c r="C393" s="2" t="str">
        <f t="shared" ref="C393:C394" si="1">+5076200-2668/PANAMA</f>
        <v>#NAME?</v>
      </c>
      <c r="D393" s="2"/>
      <c r="E393" s="2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">
        <v>8175599.0</v>
      </c>
      <c r="B394" s="1" t="s">
        <v>1446</v>
      </c>
      <c r="C394" s="2" t="str">
        <f t="shared" si="1"/>
        <v>#NAME?</v>
      </c>
      <c r="D394" s="2"/>
      <c r="E394" s="2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">
        <v>142001.0</v>
      </c>
      <c r="B395" s="1" t="s">
        <v>1448</v>
      </c>
      <c r="C395" s="2" t="str">
        <f>+13862432472/CUBA</f>
        <v>#NAME?</v>
      </c>
      <c r="D395" s="2"/>
      <c r="E395" s="2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" t="s">
        <v>1451</v>
      </c>
      <c r="B396" s="1" t="s">
        <v>1452</v>
      </c>
      <c r="C396" s="2" t="str">
        <f>+561317-8996/PANAMA</f>
        <v>#NAME?</v>
      </c>
      <c r="D396" s="2"/>
      <c r="E396" s="2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" t="s">
        <v>1454</v>
      </c>
      <c r="B397" s="1" t="s">
        <v>1455</v>
      </c>
      <c r="C397" s="2" t="str">
        <f>+5076674-8874/PANAMA</f>
        <v>#NAME?</v>
      </c>
      <c r="D397" s="2"/>
      <c r="E397" s="2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">
        <v>7.9791829E7</v>
      </c>
      <c r="B398" s="1" t="s">
        <v>1457</v>
      </c>
      <c r="C398" s="2" t="str">
        <f>+50769895240/PANAMA</f>
        <v>#NAME?</v>
      </c>
      <c r="D398" s="2"/>
      <c r="E398" s="2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">
        <v>8582285.0</v>
      </c>
      <c r="B399" s="1" t="s">
        <v>1459</v>
      </c>
      <c r="C399" s="2" t="str">
        <f>+50763495715/PANAMA</f>
        <v>#NAME?</v>
      </c>
      <c r="D399" s="2"/>
      <c r="E399" s="2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" t="s">
        <v>1462</v>
      </c>
      <c r="B400" s="1" t="s">
        <v>1463</v>
      </c>
      <c r="C400" s="2" t="str">
        <f>+5076679-4702/PANAMA</f>
        <v>#NAME?</v>
      </c>
      <c r="D400" s="2"/>
      <c r="E400" s="2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" t="s">
        <v>1465</v>
      </c>
      <c r="B401" s="1" t="s">
        <v>1466</v>
      </c>
      <c r="C401" s="2" t="str">
        <f>+5076214-8854/PANAMA</f>
        <v>#NAME?</v>
      </c>
      <c r="D401" s="2"/>
      <c r="E401" s="1" t="s">
        <v>3</v>
      </c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" t="s">
        <v>1469</v>
      </c>
      <c r="B402" s="1" t="s">
        <v>1470</v>
      </c>
      <c r="C402" s="2" t="str">
        <f>+5076375-4903/PANAMA</f>
        <v>#NAME?</v>
      </c>
      <c r="D402" s="2"/>
      <c r="E402" s="2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" t="s">
        <v>1473</v>
      </c>
      <c r="B403" s="1" t="s">
        <v>1474</v>
      </c>
      <c r="C403" s="2" t="str">
        <f>+5076702-2499/PANAMA</f>
        <v>#NAME?</v>
      </c>
      <c r="D403" s="2"/>
      <c r="E403" s="2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" t="s">
        <v>1478</v>
      </c>
      <c r="B404" s="1" t="s">
        <v>1479</v>
      </c>
      <c r="C404" s="2" t="str">
        <f>+5076755-1616/PANAMA</f>
        <v>#NAME?</v>
      </c>
      <c r="D404" s="2"/>
      <c r="E404" s="2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" t="s">
        <v>1482</v>
      </c>
      <c r="B405" s="1" t="s">
        <v>1483</v>
      </c>
      <c r="C405" s="2" t="str">
        <f>+50766133251/PANAMA</f>
        <v>#NAME?</v>
      </c>
      <c r="D405" s="2"/>
      <c r="E405" s="2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" t="s">
        <v>1485</v>
      </c>
      <c r="B406" s="1" t="s">
        <v>1486</v>
      </c>
      <c r="C406" s="2" t="str">
        <f>+50766755101/PANAMA</f>
        <v>#NAME?</v>
      </c>
      <c r="D406" s="2"/>
      <c r="E406" s="2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">
        <v>1649.0</v>
      </c>
      <c r="B407" s="1" t="s">
        <v>1489</v>
      </c>
      <c r="C407" s="2" t="str">
        <f>+5076780-2224/panama</f>
        <v>#NAME?</v>
      </c>
      <c r="D407" s="2"/>
      <c r="E407" s="2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" t="s">
        <v>1492</v>
      </c>
      <c r="B408" s="1" t="s">
        <v>1493</v>
      </c>
      <c r="C408" s="2" t="str">
        <f>+5076613-9410/PANAMA</f>
        <v>#NAME?</v>
      </c>
      <c r="D408" s="2"/>
      <c r="E408" s="2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" t="s">
        <v>1495</v>
      </c>
      <c r="B409" s="1" t="s">
        <v>1496</v>
      </c>
      <c r="C409" s="2" t="str">
        <f>+5076269-416/PANAMA</f>
        <v>#NAME?</v>
      </c>
      <c r="D409" s="2"/>
      <c r="E409" s="2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" t="s">
        <v>1500</v>
      </c>
      <c r="B410" s="1" t="s">
        <v>1501</v>
      </c>
      <c r="C410" s="2">
        <f>+5076574-778</f>
        <v>5075796</v>
      </c>
      <c r="D410" s="2"/>
      <c r="E410" s="2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" t="s">
        <v>1504</v>
      </c>
      <c r="B411" s="1" t="s">
        <v>1505</v>
      </c>
      <c r="C411" s="2" t="str">
        <f>+5076747-8519/PANAMA</f>
        <v>#NAME?</v>
      </c>
      <c r="D411" s="2"/>
      <c r="E411" s="2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">
        <v>6675.0</v>
      </c>
      <c r="B412" s="1" t="s">
        <v>1508</v>
      </c>
      <c r="C412" s="2" t="str">
        <f>+5076675-1119/PANAMA</f>
        <v>#NAME?</v>
      </c>
      <c r="D412" s="2"/>
      <c r="E412" s="2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" t="s">
        <v>1510</v>
      </c>
      <c r="B413" s="1" t="s">
        <v>1511</v>
      </c>
      <c r="C413" s="2" t="str">
        <f>+5076204-2944/PANAMA</f>
        <v>#NAME?</v>
      </c>
      <c r="D413" s="2"/>
      <c r="E413" s="2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" t="s">
        <v>1513</v>
      </c>
      <c r="B414" s="1" t="s">
        <v>1514</v>
      </c>
      <c r="C414" s="2" t="str">
        <f>+50767802819/PANAMA</f>
        <v>#NAME?</v>
      </c>
      <c r="D414" s="2"/>
      <c r="E414" s="2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">
        <v>1.013648621E9</v>
      </c>
      <c r="B415" s="1" t="s">
        <v>1517</v>
      </c>
      <c r="C415" s="2" t="str">
        <f>+573134410044/COLOMBIA</f>
        <v>#NAME?</v>
      </c>
      <c r="D415" s="2"/>
      <c r="E415" s="2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">
        <v>314295.0</v>
      </c>
      <c r="B416" s="1" t="s">
        <v>1519</v>
      </c>
      <c r="C416" s="2" t="str">
        <f>+5731429524720/COLOMBIA</f>
        <v>#NAME?</v>
      </c>
      <c r="D416" s="2"/>
      <c r="E416" s="2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">
        <v>3.102659226E9</v>
      </c>
      <c r="B417" s="1" t="s">
        <v>1522</v>
      </c>
      <c r="C417" s="2" t="str">
        <f>+5073102659226/COLOMBIA</f>
        <v>#NAME?</v>
      </c>
      <c r="D417" s="2"/>
      <c r="E417" s="2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" t="s">
        <v>1525</v>
      </c>
      <c r="B418" s="1" t="s">
        <v>1526</v>
      </c>
      <c r="C418" s="2" t="str">
        <f>+5076155-8188/PANAMA</f>
        <v>#NAME?</v>
      </c>
      <c r="D418" s="2"/>
      <c r="E418" s="2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" t="s">
        <v>1528</v>
      </c>
      <c r="B419" s="1" t="s">
        <v>1530</v>
      </c>
      <c r="C419" s="2" t="str">
        <f>+5076408-2598/PANAMA</f>
        <v>#NAME?</v>
      </c>
      <c r="D419" s="2"/>
      <c r="E419" s="2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" t="s">
        <v>1533</v>
      </c>
      <c r="B420" s="1" t="s">
        <v>1534</v>
      </c>
      <c r="C420" s="2" t="str">
        <f>+5076671-8856/PANAMA|</f>
        <v>#ERROR!</v>
      </c>
      <c r="D420" s="2"/>
      <c r="E420" s="2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" t="s">
        <v>1537</v>
      </c>
      <c r="B421" s="1" t="s">
        <v>1538</v>
      </c>
      <c r="C421" s="2" t="str">
        <f>+50767802271/PANAMA</f>
        <v>#NAME?</v>
      </c>
      <c r="D421" s="2"/>
      <c r="E421" s="2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" t="s">
        <v>1542</v>
      </c>
      <c r="B422" s="1" t="s">
        <v>1543</v>
      </c>
      <c r="C422" s="2" t="str">
        <f>+507-6480-8684/PANAMA</f>
        <v>#NAME?</v>
      </c>
      <c r="D422" s="2"/>
      <c r="E422" s="2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" t="s">
        <v>1547</v>
      </c>
      <c r="B423" s="1" t="s">
        <v>1548</v>
      </c>
      <c r="C423" s="2" t="str">
        <f>+507-6983-1235/PANAMA</f>
        <v>#NAME?</v>
      </c>
      <c r="D423" s="2"/>
      <c r="E423" s="2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" t="s">
        <v>1551</v>
      </c>
      <c r="B424" s="1" t="s">
        <v>1552</v>
      </c>
      <c r="C424" s="2" t="str">
        <f>+507-6942-7245/PANAMA</f>
        <v>#NAME?</v>
      </c>
      <c r="D424" s="2"/>
      <c r="E424" s="2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" t="s">
        <v>1556</v>
      </c>
      <c r="B425" s="1" t="s">
        <v>1557</v>
      </c>
      <c r="C425" s="2" t="str">
        <f>+507-6361-506/PANAMA</f>
        <v>#NAME?</v>
      </c>
      <c r="D425" s="2"/>
      <c r="E425" s="2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" t="s">
        <v>1560</v>
      </c>
      <c r="B426" s="1" t="s">
        <v>1561</v>
      </c>
      <c r="C426" s="2" t="str">
        <f>+507-6949-1494/panama</f>
        <v>#NAME?</v>
      </c>
      <c r="D426" s="2"/>
      <c r="E426" s="2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">
        <v>1.67053123E8</v>
      </c>
      <c r="B427" s="1" t="s">
        <v>1564</v>
      </c>
      <c r="C427" s="2" t="str">
        <f>+507-6010-180/panama</f>
        <v>#NAME?</v>
      </c>
      <c r="D427" s="2"/>
      <c r="E427" s="2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" t="s">
        <v>1567</v>
      </c>
      <c r="B428" s="1" t="s">
        <v>1568</v>
      </c>
      <c r="C428" s="2" t="str">
        <f>+50767439975/panama</f>
        <v>#NAME?</v>
      </c>
      <c r="D428" s="2"/>
      <c r="E428" s="1" t="s">
        <v>3</v>
      </c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" t="s">
        <v>1571</v>
      </c>
      <c r="B429" s="1" t="s">
        <v>1572</v>
      </c>
      <c r="C429" s="2" t="str">
        <f>+50766715040/panama</f>
        <v>#NAME?</v>
      </c>
      <c r="D429" s="2"/>
      <c r="E429" s="1" t="s">
        <v>3</v>
      </c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">
        <v>7.9889125E7</v>
      </c>
      <c r="B430" s="1" t="s">
        <v>1574</v>
      </c>
      <c r="C430" s="2" t="str">
        <f>+573174039729/COLOMBIA</f>
        <v>#NAME?</v>
      </c>
      <c r="D430" s="2"/>
      <c r="E430" s="2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">
        <v>300322.0</v>
      </c>
      <c r="B431" s="1" t="s">
        <v>1577</v>
      </c>
      <c r="C431" s="2" t="str">
        <f>+573003228534/colombia</f>
        <v>#NAME?</v>
      </c>
      <c r="D431" s="2"/>
      <c r="E431" s="1" t="s">
        <v>299</v>
      </c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" t="s">
        <v>1581</v>
      </c>
      <c r="B432" s="1" t="s">
        <v>1582</v>
      </c>
      <c r="C432" s="2" t="str">
        <f>+50766174167/PANAMA</f>
        <v>#NAME?</v>
      </c>
      <c r="D432" s="2"/>
      <c r="E432" s="1" t="s">
        <v>3</v>
      </c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" t="s">
        <v>1585</v>
      </c>
      <c r="B433" s="1" t="s">
        <v>1586</v>
      </c>
      <c r="C433" s="2" t="str">
        <f>+50765623636/PANAMA</f>
        <v>#NAME?</v>
      </c>
      <c r="D433" s="2"/>
      <c r="E433" s="1" t="s">
        <v>3</v>
      </c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" t="s">
        <v>1590</v>
      </c>
      <c r="B434" s="1" t="s">
        <v>1591</v>
      </c>
      <c r="C434" s="2" t="str">
        <f>+50766179666/PANAMA</f>
        <v>#NAME?</v>
      </c>
      <c r="D434" s="2"/>
      <c r="E434" s="1" t="s">
        <v>3</v>
      </c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" t="s">
        <v>1594</v>
      </c>
      <c r="B435" s="1" t="s">
        <v>1595</v>
      </c>
      <c r="C435" s="2" t="str">
        <f>+50769812730/PANAMA</f>
        <v>#NAME?</v>
      </c>
      <c r="D435" s="2"/>
      <c r="E435" s="1" t="s">
        <v>3</v>
      </c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" t="s">
        <v>1598</v>
      </c>
      <c r="B436" s="1" t="s">
        <v>1599</v>
      </c>
      <c r="C436" s="2" t="str">
        <f>+50766153136/PANAMA</f>
        <v>#NAME?</v>
      </c>
      <c r="D436" s="2"/>
      <c r="E436" s="1" t="s">
        <v>3</v>
      </c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">
        <v>6873.0</v>
      </c>
      <c r="B437" s="1" t="s">
        <v>1602</v>
      </c>
      <c r="C437" s="2" t="str">
        <f>+50768732860/PANAMA</f>
        <v>#NAME?</v>
      </c>
      <c r="D437" s="2"/>
      <c r="E437" s="1" t="s">
        <v>3</v>
      </c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" t="s">
        <v>1604</v>
      </c>
      <c r="B438" s="1" t="s">
        <v>1605</v>
      </c>
      <c r="C438" s="2" t="str">
        <f>+5076613-9879/PANAMA</f>
        <v>#NAME?</v>
      </c>
      <c r="D438" s="2"/>
      <c r="E438" s="1" t="s">
        <v>3</v>
      </c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" t="s">
        <v>1609</v>
      </c>
      <c r="B439" s="1" t="s">
        <v>1610</v>
      </c>
      <c r="C439" s="2">
        <f>+5076035-2436</f>
        <v>5073599</v>
      </c>
      <c r="D439" s="2"/>
      <c r="E439" s="1" t="s">
        <v>3</v>
      </c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" t="s">
        <v>1613</v>
      </c>
      <c r="B440" s="1" t="s">
        <v>1614</v>
      </c>
      <c r="C440" s="2">
        <f>+5076673-1000</f>
        <v>5075673</v>
      </c>
      <c r="D440" s="2"/>
      <c r="E440" s="1" t="s">
        <v>3</v>
      </c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" t="s">
        <v>1617</v>
      </c>
      <c r="B441" s="1" t="s">
        <v>1618</v>
      </c>
      <c r="C441" s="2">
        <f>+5076223-63</f>
        <v>5076160</v>
      </c>
      <c r="D441" s="2"/>
      <c r="E441" s="1" t="s">
        <v>3</v>
      </c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" t="s">
        <v>1621</v>
      </c>
      <c r="B442" s="1" t="s">
        <v>1622</v>
      </c>
      <c r="C442" s="2" t="str">
        <f>+5076691-69/PANAMA</f>
        <v>#NAME?</v>
      </c>
      <c r="D442" s="2"/>
      <c r="E442" s="1" t="s">
        <v>299</v>
      </c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" t="s">
        <v>1625</v>
      </c>
      <c r="B443" s="1" t="s">
        <v>1626</v>
      </c>
      <c r="C443" s="2">
        <f>+50763238817</f>
        <v>50763238817</v>
      </c>
      <c r="D443" s="2"/>
      <c r="E443" s="2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">
        <v>5076090.0</v>
      </c>
      <c r="B444" s="1" t="s">
        <v>1629</v>
      </c>
      <c r="C444" s="2">
        <f>+50760904015</f>
        <v>50760904015</v>
      </c>
      <c r="D444" s="2"/>
      <c r="E444" s="1" t="s">
        <v>147</v>
      </c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" t="s">
        <v>1631</v>
      </c>
      <c r="B445" s="1" t="s">
        <v>1632</v>
      </c>
      <c r="C445" s="2" t="str">
        <f>+507-6676-4043/panama</f>
        <v>#NAME?</v>
      </c>
      <c r="D445" s="2"/>
      <c r="E445" s="1" t="s">
        <v>147</v>
      </c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" t="s">
        <v>1635</v>
      </c>
      <c r="B446" s="1" t="s">
        <v>1636</v>
      </c>
      <c r="C446" s="1">
        <v>5.0767809805E10</v>
      </c>
      <c r="D446" s="2"/>
      <c r="E446" s="1" t="s">
        <v>3</v>
      </c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">
        <v>640058.0</v>
      </c>
      <c r="B447" s="1" t="s">
        <v>1638</v>
      </c>
      <c r="C447" s="2" t="str">
        <f>+50764005826/PANAMA</f>
        <v>#NAME?</v>
      </c>
      <c r="D447" s="2"/>
      <c r="E447" s="2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" t="s">
        <v>1641</v>
      </c>
      <c r="B448" s="1" t="s">
        <v>1642</v>
      </c>
      <c r="C448" s="2">
        <f>+50763303864</f>
        <v>50763303864</v>
      </c>
      <c r="D448" s="2"/>
      <c r="E448" s="1" t="s">
        <v>147</v>
      </c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">
        <v>6480.0</v>
      </c>
      <c r="B449" s="1" t="s">
        <v>1645</v>
      </c>
      <c r="C449" s="2" t="str">
        <f>+50764807777-PANAMA</f>
        <v>#NAME?</v>
      </c>
      <c r="D449" s="2"/>
      <c r="E449" s="1" t="s">
        <v>3</v>
      </c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" t="s">
        <v>1649</v>
      </c>
      <c r="B450" s="1" t="s">
        <v>1650</v>
      </c>
      <c r="C450" s="1" t="s">
        <v>1651</v>
      </c>
      <c r="D450" s="2"/>
      <c r="E450" s="2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">
        <v>8315298.0</v>
      </c>
      <c r="B451" s="1" t="s">
        <v>1654</v>
      </c>
      <c r="C451" s="2" t="str">
        <f>+50762731713/PANAMA</f>
        <v>#NAME?</v>
      </c>
      <c r="D451" s="2"/>
      <c r="E451" s="1" t="s">
        <v>3</v>
      </c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" t="s">
        <v>1656</v>
      </c>
      <c r="B452" s="1" t="s">
        <v>1657</v>
      </c>
      <c r="C452" s="2">
        <f>+50766157645</f>
        <v>50766157645</v>
      </c>
      <c r="D452" s="2"/>
      <c r="E452" s="1" t="s">
        <v>3</v>
      </c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">
        <v>8230998.0</v>
      </c>
      <c r="B453" s="1" t="s">
        <v>1661</v>
      </c>
      <c r="C453" s="2">
        <f>+50761348095</f>
        <v>50761348095</v>
      </c>
      <c r="D453" s="2"/>
      <c r="E453" s="2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">
        <v>6.6253525E7</v>
      </c>
      <c r="B454" s="1" t="s">
        <v>1663</v>
      </c>
      <c r="C454" s="2">
        <f>+50766253525</f>
        <v>50766253525</v>
      </c>
      <c r="D454" s="2"/>
      <c r="E454" s="2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" t="s">
        <v>1666</v>
      </c>
      <c r="B455" s="1" t="s">
        <v>1667</v>
      </c>
      <c r="C455" s="2">
        <f>+50766734469</f>
        <v>50766734469</v>
      </c>
      <c r="D455" s="2"/>
      <c r="E455" s="1" t="s">
        <v>3</v>
      </c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">
        <v>3122519.0</v>
      </c>
      <c r="B456" s="1" t="s">
        <v>1669</v>
      </c>
      <c r="C456" s="2" t="str">
        <f>+50766141262/PANAMA</f>
        <v>#NAME?</v>
      </c>
      <c r="D456" s="2"/>
      <c r="E456" s="1" t="s">
        <v>3</v>
      </c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" t="s">
        <v>1672</v>
      </c>
      <c r="B457" s="1" t="s">
        <v>1674</v>
      </c>
      <c r="C457" s="2">
        <f>+50761126822</f>
        <v>50761126822</v>
      </c>
      <c r="D457" s="2"/>
      <c r="E457" s="1" t="s">
        <v>3</v>
      </c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">
        <v>7211049.0</v>
      </c>
      <c r="B458" s="1" t="s">
        <v>1676</v>
      </c>
      <c r="C458" s="2" t="str">
        <f>+50766722249/PANAMA</f>
        <v>#NAME?</v>
      </c>
      <c r="D458" s="2"/>
      <c r="E458" s="1" t="s">
        <v>3</v>
      </c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">
        <v>8400366.0</v>
      </c>
      <c r="B459" s="1" t="s">
        <v>1679</v>
      </c>
      <c r="C459" s="2">
        <f>+50766745952</f>
        <v>50766745952</v>
      </c>
      <c r="D459" s="2"/>
      <c r="E459" s="2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" t="s">
        <v>1682</v>
      </c>
      <c r="B460" s="1" t="s">
        <v>1683</v>
      </c>
      <c r="C460" s="2" t="str">
        <f>+50766151124/PANAMA</f>
        <v>#NAME?</v>
      </c>
      <c r="D460" s="2"/>
      <c r="E460" s="2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">
        <v>6.9819141E7</v>
      </c>
      <c r="B461" s="1" t="s">
        <v>1686</v>
      </c>
      <c r="C461" s="2">
        <f>+50769819141</f>
        <v>50769819141</v>
      </c>
      <c r="D461" s="2"/>
      <c r="E461" s="1" t="s">
        <v>3</v>
      </c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" t="s">
        <v>1688</v>
      </c>
      <c r="B462" s="1" t="s">
        <v>1689</v>
      </c>
      <c r="C462" s="2">
        <f>+50762261666</f>
        <v>50762261666</v>
      </c>
      <c r="D462" s="2"/>
      <c r="E462" s="1" t="s">
        <v>3</v>
      </c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">
        <v>1.02628712E9</v>
      </c>
      <c r="B463" s="1" t="s">
        <v>1692</v>
      </c>
      <c r="C463" s="2">
        <f>+573202677372</f>
        <v>573202677372</v>
      </c>
      <c r="D463" s="2"/>
      <c r="E463" s="1" t="s">
        <v>299</v>
      </c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">
        <v>321454.0</v>
      </c>
      <c r="B464" s="1" t="s">
        <v>1694</v>
      </c>
      <c r="C464" s="2">
        <f>+573214529318</f>
        <v>573214529318</v>
      </c>
      <c r="D464" s="2"/>
      <c r="E464" s="1" t="s">
        <v>299</v>
      </c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" t="s">
        <v>1697</v>
      </c>
      <c r="B465" s="1" t="s">
        <v>1698</v>
      </c>
      <c r="C465" s="2">
        <f>+573112140206</f>
        <v>573112140206</v>
      </c>
      <c r="D465" s="2"/>
      <c r="E465" s="1" t="s">
        <v>299</v>
      </c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" t="s">
        <v>1702</v>
      </c>
      <c r="B466" s="1" t="s">
        <v>1703</v>
      </c>
      <c r="C466" s="2" t="str">
        <f>+50764809806/PANAMA</f>
        <v>#NAME?</v>
      </c>
      <c r="D466" s="2"/>
      <c r="E466" s="1" t="s">
        <v>3</v>
      </c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" t="s">
        <v>1705</v>
      </c>
      <c r="B467" s="1" t="s">
        <v>1706</v>
      </c>
      <c r="C467" s="2">
        <f>+50766719018</f>
        <v>50766719018</v>
      </c>
      <c r="D467" s="2"/>
      <c r="E467" s="1" t="s">
        <v>3</v>
      </c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" t="s">
        <v>1708</v>
      </c>
      <c r="B468" s="1" t="s">
        <v>1709</v>
      </c>
      <c r="C468" s="2">
        <f>+50769801998</f>
        <v>50769801998</v>
      </c>
      <c r="D468" s="2"/>
      <c r="E468" s="1" t="s">
        <v>3</v>
      </c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" t="s">
        <v>1712</v>
      </c>
      <c r="B469" s="1" t="s">
        <v>1714</v>
      </c>
      <c r="C469" s="2">
        <f>+50766779282</f>
        <v>50766779282</v>
      </c>
      <c r="D469" s="2"/>
      <c r="E469" s="1" t="s">
        <v>3</v>
      </c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">
        <v>1.125470542E9</v>
      </c>
      <c r="B470" s="1" t="s">
        <v>1717</v>
      </c>
      <c r="C470" s="2">
        <f>+573054141660</f>
        <v>573054141660</v>
      </c>
      <c r="D470" s="2"/>
      <c r="E470" s="1" t="s">
        <v>299</v>
      </c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" t="s">
        <v>1719</v>
      </c>
      <c r="B471" s="1" t="s">
        <v>1720</v>
      </c>
      <c r="C471" s="2" t="str">
        <f>+50769353131/PANAMA</f>
        <v>#NAME?</v>
      </c>
      <c r="D471" s="2"/>
      <c r="E471" s="1" t="s">
        <v>1721</v>
      </c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2">
        <v>2265083.0</v>
      </c>
      <c r="B472" s="1" t="s">
        <v>1724</v>
      </c>
      <c r="C472" s="2">
        <f>+50763794250</f>
        <v>50763794250</v>
      </c>
      <c r="D472" s="2"/>
      <c r="E472" s="1" t="s">
        <v>3</v>
      </c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" t="s">
        <v>1727</v>
      </c>
      <c r="B473" s="1" t="s">
        <v>1728</v>
      </c>
      <c r="C473" s="2">
        <f>+5076445-4584</f>
        <v>5071861</v>
      </c>
      <c r="D473" s="2"/>
      <c r="E473" s="1" t="s">
        <v>3</v>
      </c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" t="s">
        <v>1730</v>
      </c>
      <c r="B474" s="1" t="s">
        <v>1731</v>
      </c>
      <c r="C474" s="2">
        <f>+50763799078</f>
        <v>50763799078</v>
      </c>
      <c r="D474" s="2"/>
      <c r="E474" s="1" t="s">
        <v>3</v>
      </c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">
        <v>50766.0</v>
      </c>
      <c r="B475" s="1" t="s">
        <v>1736</v>
      </c>
      <c r="C475" s="2">
        <f>+50766778882</f>
        <v>50766778882</v>
      </c>
      <c r="D475" s="2"/>
      <c r="E475" s="1" t="s">
        <v>3</v>
      </c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3">
        <v>46175.0</v>
      </c>
      <c r="B476" s="1" t="s">
        <v>1739</v>
      </c>
      <c r="C476" s="2">
        <f>+50766778883</f>
        <v>50766778883</v>
      </c>
      <c r="D476" s="2"/>
      <c r="E476" s="1" t="s">
        <v>3</v>
      </c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">
        <v>507698.0</v>
      </c>
      <c r="B477" s="1" t="s">
        <v>1742</v>
      </c>
      <c r="C477" s="2">
        <f>+50769817691</f>
        <v>50769817691</v>
      </c>
      <c r="D477" s="2"/>
      <c r="E477" s="1" t="s">
        <v>3</v>
      </c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" t="s">
        <v>1745</v>
      </c>
      <c r="B478" s="1" t="s">
        <v>1746</v>
      </c>
      <c r="C478" s="2" t="str">
        <f>+50764617652/PANAMA</f>
        <v>#NAME?</v>
      </c>
      <c r="D478" s="2"/>
      <c r="E478" s="1" t="s">
        <v>3</v>
      </c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" t="s">
        <v>1749</v>
      </c>
      <c r="B479" s="1" t="s">
        <v>1750</v>
      </c>
      <c r="C479" s="2">
        <f>+50766729961</f>
        <v>50766729961</v>
      </c>
      <c r="D479" s="2"/>
      <c r="E479" s="1" t="s">
        <v>3</v>
      </c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" t="s">
        <v>1753</v>
      </c>
      <c r="B480" s="1" t="s">
        <v>1754</v>
      </c>
      <c r="C480" s="2">
        <f>+50764981338</f>
        <v>50764981338</v>
      </c>
      <c r="D480" s="2"/>
      <c r="E480" s="1" t="s">
        <v>3</v>
      </c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" t="s">
        <v>1756</v>
      </c>
      <c r="B481" s="1" t="s">
        <v>1757</v>
      </c>
      <c r="C481" s="2">
        <f>+50769815196</f>
        <v>50769815196</v>
      </c>
      <c r="D481" s="2"/>
      <c r="E481" s="1" t="s">
        <v>3</v>
      </c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" t="s">
        <v>1759</v>
      </c>
      <c r="B482" s="1" t="s">
        <v>1760</v>
      </c>
      <c r="C482" s="2" t="str">
        <f>+507-6550-9779/PANAMA</f>
        <v>#NAME?</v>
      </c>
      <c r="D482" s="2"/>
      <c r="E482" s="1" t="s">
        <v>3</v>
      </c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" t="s">
        <v>1763</v>
      </c>
      <c r="B483" s="1" t="s">
        <v>1764</v>
      </c>
      <c r="C483" s="2">
        <f>+50766746245</f>
        <v>50766746245</v>
      </c>
      <c r="D483" s="2"/>
      <c r="E483" s="1" t="s">
        <v>3</v>
      </c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" t="s">
        <v>1767</v>
      </c>
      <c r="B484" s="1" t="s">
        <v>1768</v>
      </c>
      <c r="C484" s="2">
        <f>+50762730279</f>
        <v>50762730279</v>
      </c>
      <c r="D484" s="2"/>
      <c r="E484" s="1" t="s">
        <v>3</v>
      </c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" t="s">
        <v>1770</v>
      </c>
      <c r="B485" s="1" t="s">
        <v>1771</v>
      </c>
      <c r="C485" s="2" t="str">
        <f>+50762150501/PANAMA</f>
        <v>#NAME?</v>
      </c>
      <c r="D485" s="2"/>
      <c r="E485" s="1" t="s">
        <v>3</v>
      </c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" t="s">
        <v>1775</v>
      </c>
      <c r="B486" s="1" t="s">
        <v>1776</v>
      </c>
      <c r="C486" s="2" t="str">
        <f>+50766196073/PANAMA</f>
        <v>#NAME?</v>
      </c>
      <c r="D486" s="2"/>
      <c r="E486" s="1" t="s">
        <v>3</v>
      </c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" t="s">
        <v>1779</v>
      </c>
      <c r="B487" s="1" t="s">
        <v>1780</v>
      </c>
      <c r="C487" s="2">
        <f>+50766114553</f>
        <v>50766114553</v>
      </c>
      <c r="D487" s="2"/>
      <c r="E487" s="1" t="s">
        <v>3</v>
      </c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">
        <v>82272.0</v>
      </c>
      <c r="B488" s="1" t="s">
        <v>1783</v>
      </c>
      <c r="C488" s="2">
        <f>+50766755500</f>
        <v>50766755500</v>
      </c>
      <c r="D488" s="2"/>
      <c r="E488" s="1" t="s">
        <v>3</v>
      </c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" t="s">
        <v>1786</v>
      </c>
      <c r="B489" s="1" t="s">
        <v>1787</v>
      </c>
      <c r="C489" s="2">
        <f>+50767795688</f>
        <v>50767795688</v>
      </c>
      <c r="D489" s="2"/>
      <c r="E489" s="1" t="s">
        <v>3</v>
      </c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" t="s">
        <v>1790</v>
      </c>
      <c r="B490" s="1" t="s">
        <v>1791</v>
      </c>
      <c r="C490" s="2">
        <f>+573115920272</f>
        <v>573115920272</v>
      </c>
      <c r="D490" s="2"/>
      <c r="E490" s="1" t="s">
        <v>299</v>
      </c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" t="s">
        <v>1794</v>
      </c>
      <c r="B491" s="1" t="s">
        <v>1795</v>
      </c>
      <c r="C491" s="2">
        <f>+50766778818</f>
        <v>50766778818</v>
      </c>
      <c r="D491" s="2"/>
      <c r="E491" s="1" t="s">
        <v>3</v>
      </c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" t="s">
        <v>1797</v>
      </c>
      <c r="B492" s="1" t="s">
        <v>1799</v>
      </c>
      <c r="C492" s="2">
        <f>+573104813225</f>
        <v>573104813225</v>
      </c>
      <c r="D492" s="2"/>
      <c r="E492" s="1" t="s">
        <v>299</v>
      </c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" t="s">
        <v>1801</v>
      </c>
      <c r="B493" s="1" t="s">
        <v>1802</v>
      </c>
      <c r="C493" s="2">
        <f>+50764001501</f>
        <v>50764001501</v>
      </c>
      <c r="D493" s="2"/>
      <c r="E493" s="1" t="s">
        <v>1804</v>
      </c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">
        <v>8.7221396E7</v>
      </c>
      <c r="B494" s="1" t="s">
        <v>1805</v>
      </c>
      <c r="C494" s="2" t="str">
        <f>+50766736070|</f>
        <v>#ERROR!</v>
      </c>
      <c r="D494" s="2"/>
      <c r="E494" s="1" t="s">
        <v>3</v>
      </c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4">
        <v>45509.0</v>
      </c>
      <c r="B495" s="1" t="s">
        <v>1809</v>
      </c>
      <c r="C495" s="2" t="str">
        <f>+0573214509974 colombia</f>
        <v>#ERROR!</v>
      </c>
      <c r="D495" s="2"/>
      <c r="E495" s="1" t="s">
        <v>1810</v>
      </c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">
        <v>3.113923975E9</v>
      </c>
      <c r="B496" s="1" t="s">
        <v>1813</v>
      </c>
      <c r="C496" s="2">
        <f>+573115344695</f>
        <v>573115344695</v>
      </c>
      <c r="D496" s="2"/>
      <c r="E496" s="1" t="s">
        <v>299</v>
      </c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">
        <v>1.4224104E7</v>
      </c>
      <c r="B497" s="1" t="s">
        <v>1816</v>
      </c>
      <c r="C497" s="2">
        <f>+575997350</f>
        <v>575997350</v>
      </c>
      <c r="D497" s="2"/>
      <c r="E497" s="1" t="s">
        <v>299</v>
      </c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">
        <v>1.018483454E9</v>
      </c>
      <c r="B498" s="1" t="s">
        <v>1819</v>
      </c>
      <c r="C498" s="2">
        <f>+573108850070</f>
        <v>573108850070</v>
      </c>
      <c r="D498" s="2"/>
      <c r="E498" s="1" t="s">
        <v>299</v>
      </c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4">
        <v>45418.0</v>
      </c>
      <c r="B499" s="1" t="s">
        <v>1821</v>
      </c>
      <c r="C499" s="2">
        <f>+573102182766</f>
        <v>573102182766</v>
      </c>
      <c r="D499" s="2"/>
      <c r="E499" s="1" t="s">
        <v>1822</v>
      </c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" t="s">
        <v>1824</v>
      </c>
      <c r="B500" s="1" t="s">
        <v>1825</v>
      </c>
      <c r="C500" s="2" t="str">
        <f>+50761308686/PANAMA</f>
        <v>#NAME?</v>
      </c>
      <c r="D500" s="2"/>
      <c r="E500" s="1" t="s">
        <v>3</v>
      </c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" t="s">
        <v>1829</v>
      </c>
      <c r="B501" s="1" t="s">
        <v>1830</v>
      </c>
      <c r="C501" s="2">
        <f>+50766525486</f>
        <v>50766525486</v>
      </c>
      <c r="D501" s="2"/>
      <c r="E501" s="1" t="s">
        <v>3</v>
      </c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" t="s">
        <v>1833</v>
      </c>
      <c r="B502" s="1" t="s">
        <v>1834</v>
      </c>
      <c r="C502" s="2">
        <f>+50762021019</f>
        <v>50762021019</v>
      </c>
      <c r="D502" s="2"/>
      <c r="E502" s="1" t="s">
        <v>3</v>
      </c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">
        <v>6.0700501E7</v>
      </c>
      <c r="B503" s="1" t="s">
        <v>1836</v>
      </c>
      <c r="C503" s="2" t="str">
        <f>+50760700501/PANAMA</f>
        <v>#NAME?</v>
      </c>
      <c r="D503" s="2"/>
      <c r="E503" s="1" t="s">
        <v>3</v>
      </c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">
        <v>6.0700102E7</v>
      </c>
      <c r="B504" s="1" t="s">
        <v>1839</v>
      </c>
      <c r="C504" s="2">
        <f>+50760700102</f>
        <v>50760700102</v>
      </c>
      <c r="D504" s="2"/>
      <c r="E504" s="1" t="s">
        <v>3</v>
      </c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">
        <v>6.4504257E7</v>
      </c>
      <c r="B505" s="1" t="s">
        <v>1841</v>
      </c>
      <c r="C505" s="2">
        <f>+50764504257</f>
        <v>50764504257</v>
      </c>
      <c r="D505" s="2"/>
      <c r="E505" s="1" t="s">
        <v>3</v>
      </c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" t="s">
        <v>1844</v>
      </c>
      <c r="B506" s="1" t="s">
        <v>1845</v>
      </c>
      <c r="C506" s="2">
        <f>+50761121317</f>
        <v>50761121317</v>
      </c>
      <c r="D506" s="2"/>
      <c r="E506" s="1" t="s">
        <v>3</v>
      </c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" t="s">
        <v>1848</v>
      </c>
      <c r="B507" s="1" t="s">
        <v>1849</v>
      </c>
      <c r="C507" s="2">
        <f>+50766119591</f>
        <v>50766119591</v>
      </c>
      <c r="D507" s="2"/>
      <c r="E507" s="1" t="s">
        <v>3</v>
      </c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" t="s">
        <v>1852</v>
      </c>
      <c r="B508" s="1" t="s">
        <v>1853</v>
      </c>
      <c r="C508" s="2" t="str">
        <f>+50762539734/PANAMA</f>
        <v>#NAME?</v>
      </c>
      <c r="D508" s="2"/>
      <c r="E508" s="1" t="s">
        <v>3</v>
      </c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" t="s">
        <v>1855</v>
      </c>
      <c r="B509" s="1" t="s">
        <v>1856</v>
      </c>
      <c r="C509" s="2">
        <f>+50766180083</f>
        <v>50766180083</v>
      </c>
      <c r="D509" s="2"/>
      <c r="E509" s="1" t="s">
        <v>3</v>
      </c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" t="s">
        <v>1858</v>
      </c>
      <c r="B510" s="1" t="s">
        <v>1859</v>
      </c>
      <c r="C510" s="2">
        <f>+50762489429</f>
        <v>50762489429</v>
      </c>
      <c r="D510" s="2"/>
      <c r="E510" s="1" t="s">
        <v>3</v>
      </c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" t="s">
        <v>1862</v>
      </c>
      <c r="B511" s="1" t="s">
        <v>1863</v>
      </c>
      <c r="C511" s="2">
        <f>+50764805442</f>
        <v>50764805442</v>
      </c>
      <c r="D511" s="2"/>
      <c r="E511" s="1" t="s">
        <v>3</v>
      </c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" t="s">
        <v>1866</v>
      </c>
      <c r="B512" s="1" t="s">
        <v>1867</v>
      </c>
      <c r="C512" s="2">
        <f>+50767989010</f>
        <v>50767989010</v>
      </c>
      <c r="D512" s="2"/>
      <c r="E512" s="1" t="s">
        <v>3</v>
      </c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">
        <v>9.3407268E7</v>
      </c>
      <c r="B513" s="1" t="s">
        <v>1870</v>
      </c>
      <c r="C513" s="2">
        <f>+50769033410</f>
        <v>50769033410</v>
      </c>
      <c r="D513" s="2"/>
      <c r="E513" s="1" t="s">
        <v>3</v>
      </c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">
        <v>6.700646E7</v>
      </c>
      <c r="B514" s="1" t="s">
        <v>1872</v>
      </c>
      <c r="C514" s="2">
        <f>+50767006460</f>
        <v>50767006460</v>
      </c>
      <c r="D514" s="2"/>
      <c r="E514" s="1" t="s">
        <v>3</v>
      </c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">
        <v>8.8172202E7</v>
      </c>
      <c r="B515" s="1" t="s">
        <v>1874</v>
      </c>
      <c r="C515" s="2">
        <f>+50760243065</f>
        <v>50760243065</v>
      </c>
      <c r="D515" s="2"/>
      <c r="E515" s="1" t="s">
        <v>3</v>
      </c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" t="s">
        <v>1877</v>
      </c>
      <c r="B516" s="1" t="s">
        <v>1878</v>
      </c>
      <c r="C516" s="2">
        <f>+50765483873</f>
        <v>50765483873</v>
      </c>
      <c r="D516" s="2"/>
      <c r="E516" s="1" t="s">
        <v>1879</v>
      </c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" t="s">
        <v>1882</v>
      </c>
      <c r="B517" s="1" t="s">
        <v>1883</v>
      </c>
      <c r="C517" s="2">
        <f>+507786498351</f>
        <v>507786498351</v>
      </c>
      <c r="D517" s="2"/>
      <c r="E517" s="1" t="s">
        <v>1879</v>
      </c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">
        <v>0.0</v>
      </c>
      <c r="B518" s="1" t="s">
        <v>1885</v>
      </c>
      <c r="C518" s="2">
        <f t="shared" ref="C518:C519" si="2">+5619755013</f>
        <v>5619755013</v>
      </c>
      <c r="D518" s="2"/>
      <c r="E518" s="1" t="s">
        <v>1886</v>
      </c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">
        <v>0.0</v>
      </c>
      <c r="B519" s="1" t="s">
        <v>1888</v>
      </c>
      <c r="C519" s="2">
        <f t="shared" si="2"/>
        <v>5619755013</v>
      </c>
      <c r="D519" s="1">
        <v>0.0</v>
      </c>
      <c r="E519" s="1" t="s">
        <v>1886</v>
      </c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" t="s">
        <v>1891</v>
      </c>
      <c r="B520" s="1" t="s">
        <v>1892</v>
      </c>
      <c r="C520" s="2">
        <f>+50767581807</f>
        <v>50767581807</v>
      </c>
      <c r="D520" s="1" t="s">
        <v>1893</v>
      </c>
      <c r="E520" s="1" t="s">
        <v>1879</v>
      </c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" t="s">
        <v>1895</v>
      </c>
      <c r="B521" s="1" t="s">
        <v>1896</v>
      </c>
      <c r="C521" s="2">
        <f>+50766126127</f>
        <v>50766126127</v>
      </c>
      <c r="D521" s="1" t="s">
        <v>1898</v>
      </c>
      <c r="E521" s="1" t="s">
        <v>1899</v>
      </c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" t="s">
        <v>1901</v>
      </c>
      <c r="B522" s="1" t="s">
        <v>1902</v>
      </c>
      <c r="C522" s="2" t="str">
        <f>+50766299911/panama</f>
        <v>#NAME?</v>
      </c>
      <c r="D522" s="1" t="s">
        <v>1904</v>
      </c>
      <c r="E522" s="1" t="s">
        <v>1905</v>
      </c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" t="s">
        <v>1908</v>
      </c>
      <c r="B523" s="1" t="s">
        <v>1909</v>
      </c>
      <c r="C523" s="2">
        <f>+50762416082</f>
        <v>50762416082</v>
      </c>
      <c r="D523" s="2"/>
      <c r="E523" s="1" t="s">
        <v>147</v>
      </c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" t="s">
        <v>1911</v>
      </c>
      <c r="B524" s="1" t="s">
        <v>1912</v>
      </c>
      <c r="C524" s="2" t="str">
        <f>+50768738244/PANAMA</f>
        <v>#NAME?</v>
      </c>
      <c r="D524" s="2"/>
      <c r="E524" s="1" t="s">
        <v>1914</v>
      </c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" t="s">
        <v>1916</v>
      </c>
      <c r="B525" s="1" t="s">
        <v>1917</v>
      </c>
      <c r="C525" s="2" t="str">
        <f>+50767802953 // +50766169607</f>
        <v>#ERROR!</v>
      </c>
      <c r="D525" s="2"/>
      <c r="E525" s="1" t="s">
        <v>1879</v>
      </c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" t="s">
        <v>1920</v>
      </c>
      <c r="B526" s="1" t="s">
        <v>1921</v>
      </c>
      <c r="C526" s="2">
        <f>+50762768550</f>
        <v>50762768550</v>
      </c>
      <c r="D526" s="1" t="s">
        <v>1923</v>
      </c>
      <c r="E526" s="1" t="s">
        <v>1924</v>
      </c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" t="s">
        <v>1927</v>
      </c>
      <c r="B527" s="1" t="s">
        <v>1928</v>
      </c>
      <c r="C527" s="2">
        <f>+50762100299</f>
        <v>50762100299</v>
      </c>
      <c r="D527" s="1" t="s">
        <v>1929</v>
      </c>
      <c r="E527" s="1" t="s">
        <v>1879</v>
      </c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" t="s">
        <v>1932</v>
      </c>
      <c r="B528" s="1" t="s">
        <v>1933</v>
      </c>
      <c r="C528" s="2">
        <f>+50767993326</f>
        <v>50767993326</v>
      </c>
      <c r="D528" s="1" t="s">
        <v>1934</v>
      </c>
      <c r="E528" s="1" t="s">
        <v>1879</v>
      </c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">
        <v>3.8158519E7</v>
      </c>
      <c r="B529" s="1" t="s">
        <v>1937</v>
      </c>
      <c r="C529" s="2">
        <f>+50766185292</f>
        <v>50766185292</v>
      </c>
      <c r="D529" s="2"/>
      <c r="E529" s="1" t="s">
        <v>1879</v>
      </c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">
        <v>8.4305202E7</v>
      </c>
      <c r="B530" s="1" t="s">
        <v>1939</v>
      </c>
      <c r="C530" s="2">
        <f>+50766737875</f>
        <v>50766737875</v>
      </c>
      <c r="D530" s="2"/>
      <c r="E530" s="1" t="s">
        <v>1941</v>
      </c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">
        <v>1.7339659E7</v>
      </c>
      <c r="B531" s="1" t="s">
        <v>1943</v>
      </c>
      <c r="C531" s="1" t="s">
        <v>1944</v>
      </c>
      <c r="D531" s="2"/>
      <c r="E531" s="1" t="s">
        <v>1945</v>
      </c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">
        <v>8.8271809E7</v>
      </c>
      <c r="B532" s="1" t="s">
        <v>1947</v>
      </c>
      <c r="C532" s="2">
        <f>+50769481997</f>
        <v>50769481997</v>
      </c>
      <c r="D532" s="1" t="s">
        <v>1948</v>
      </c>
      <c r="E532" s="1" t="s">
        <v>1949</v>
      </c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">
        <v>3.2735116E7</v>
      </c>
      <c r="B533" s="1" t="s">
        <v>1951</v>
      </c>
      <c r="C533" s="2" t="str">
        <f>+0573112861855 COLOMBIA</f>
        <v>#ERROR!</v>
      </c>
      <c r="D533" s="2"/>
      <c r="E533" s="1" t="s">
        <v>1953</v>
      </c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">
        <v>95.51511</v>
      </c>
      <c r="B534" s="1" t="s">
        <v>1955</v>
      </c>
      <c r="C534" s="1" t="s">
        <v>1956</v>
      </c>
      <c r="D534" s="1" t="s">
        <v>1957</v>
      </c>
      <c r="E534" s="1" t="s">
        <v>1958</v>
      </c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">
        <v>8.0764647E7</v>
      </c>
      <c r="B535" s="1" t="s">
        <v>1961</v>
      </c>
      <c r="C535" s="1" t="s">
        <v>1962</v>
      </c>
      <c r="D535" s="2"/>
      <c r="E535" s="2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">
        <v>8.0417151E7</v>
      </c>
      <c r="B536" s="1" t="s">
        <v>1965</v>
      </c>
      <c r="C536" s="1" t="s">
        <v>1966</v>
      </c>
      <c r="D536" s="1" t="s">
        <v>1967</v>
      </c>
      <c r="E536" s="1" t="s">
        <v>1968</v>
      </c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">
        <v>123456.0</v>
      </c>
      <c r="B537" s="1" t="s">
        <v>1970</v>
      </c>
      <c r="C537" s="2">
        <f>+50769491296</f>
        <v>50769491296</v>
      </c>
      <c r="D537" s="2"/>
      <c r="E537" s="2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">
        <v>202.325</v>
      </c>
      <c r="B538" s="1" t="s">
        <v>1972</v>
      </c>
      <c r="C538" s="1" t="s">
        <v>1973</v>
      </c>
      <c r="D538" s="2"/>
      <c r="E538" s="1" t="s">
        <v>1975</v>
      </c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">
        <v>49.7944</v>
      </c>
      <c r="B539" s="1" t="s">
        <v>1976</v>
      </c>
      <c r="C539" s="1" t="s">
        <v>1977</v>
      </c>
      <c r="D539" s="2"/>
      <c r="E539" s="2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">
        <v>1.043847227E9</v>
      </c>
      <c r="B540" s="1" t="s">
        <v>1979</v>
      </c>
      <c r="C540" s="2"/>
      <c r="D540" s="1" t="s">
        <v>1980</v>
      </c>
      <c r="E540" s="1" t="s">
        <v>1981</v>
      </c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">
        <v>1.094881507E9</v>
      </c>
      <c r="B541" s="1" t="s">
        <v>1984</v>
      </c>
      <c r="C541" s="1" t="s">
        <v>1985</v>
      </c>
      <c r="D541" s="2"/>
      <c r="E541" s="1" t="s">
        <v>1986</v>
      </c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" t="s">
        <v>1988</v>
      </c>
      <c r="B542" s="1" t="s">
        <v>1989</v>
      </c>
      <c r="C542" s="1" t="s">
        <v>1990</v>
      </c>
      <c r="D542" s="1" t="s">
        <v>1991</v>
      </c>
      <c r="E542" s="1" t="s">
        <v>1992</v>
      </c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">
        <v>1.01659938E9</v>
      </c>
      <c r="B543" s="1" t="s">
        <v>1994</v>
      </c>
      <c r="C543" s="1" t="s">
        <v>1990</v>
      </c>
      <c r="D543" s="2"/>
      <c r="E543" s="1" t="s">
        <v>1996</v>
      </c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" t="s">
        <v>1997</v>
      </c>
      <c r="B544" s="1" t="s">
        <v>1998</v>
      </c>
      <c r="C544" s="1" t="s">
        <v>1999</v>
      </c>
      <c r="D544" s="2"/>
      <c r="E544" s="2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">
        <v>1.015461639E9</v>
      </c>
      <c r="B545" s="1" t="s">
        <v>2001</v>
      </c>
      <c r="C545" s="1" t="s">
        <v>2003</v>
      </c>
      <c r="D545" s="2"/>
      <c r="E545" s="1" t="s">
        <v>2004</v>
      </c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" t="s">
        <v>2005</v>
      </c>
      <c r="B546" s="1" t="s">
        <v>2006</v>
      </c>
      <c r="C546" s="1" t="s">
        <v>2007</v>
      </c>
      <c r="D546" s="1" t="s">
        <v>2009</v>
      </c>
      <c r="E546" s="1" t="s">
        <v>2010</v>
      </c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">
        <v>8.0762011E7</v>
      </c>
      <c r="B547" s="1" t="s">
        <v>2011</v>
      </c>
      <c r="C547" s="1">
        <v>3.103406709E9</v>
      </c>
      <c r="D547" s="2"/>
      <c r="E547" s="1" t="s">
        <v>2012</v>
      </c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">
        <v>1.01422085E9</v>
      </c>
      <c r="B548" s="1" t="s">
        <v>2015</v>
      </c>
      <c r="C548" s="1">
        <v>3.183022758E9</v>
      </c>
      <c r="D548" s="1" t="s">
        <v>2016</v>
      </c>
      <c r="E548" s="1" t="s">
        <v>2017</v>
      </c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">
        <v>8.0058905E7</v>
      </c>
      <c r="B549" s="1" t="s">
        <v>2020</v>
      </c>
      <c r="C549" s="1" t="s">
        <v>2021</v>
      </c>
      <c r="D549" s="1" t="s">
        <v>2022</v>
      </c>
      <c r="E549" s="1" t="s">
        <v>2023</v>
      </c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">
        <v>2.8722405E7</v>
      </c>
      <c r="B550" s="1" t="s">
        <v>2025</v>
      </c>
      <c r="C550" s="1" t="s">
        <v>2026</v>
      </c>
      <c r="D550" s="1" t="s">
        <v>2027</v>
      </c>
      <c r="E550" s="1" t="s">
        <v>2028</v>
      </c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">
        <v>1.1442974E7</v>
      </c>
      <c r="B551" s="1" t="s">
        <v>2031</v>
      </c>
      <c r="C551" s="1" t="s">
        <v>2032</v>
      </c>
      <c r="D551" s="1" t="s">
        <v>2033</v>
      </c>
      <c r="E551" s="1" t="s">
        <v>2034</v>
      </c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">
        <v>3171491.0</v>
      </c>
      <c r="B552" s="1" t="s">
        <v>2037</v>
      </c>
      <c r="C552" s="1" t="s">
        <v>2038</v>
      </c>
      <c r="D552" s="1" t="s">
        <v>2039</v>
      </c>
      <c r="E552" s="1" t="s">
        <v>2040</v>
      </c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" t="s">
        <v>2042</v>
      </c>
      <c r="B553" s="1" t="s">
        <v>2043</v>
      </c>
      <c r="C553" s="1" t="s">
        <v>2045</v>
      </c>
      <c r="D553" s="2"/>
      <c r="E553" s="1" t="s">
        <v>2022</v>
      </c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">
        <v>1.098036281E9</v>
      </c>
      <c r="B554" s="1" t="s">
        <v>2047</v>
      </c>
      <c r="C554" s="1" t="s">
        <v>2049</v>
      </c>
      <c r="D554" s="1" t="s">
        <v>2050</v>
      </c>
      <c r="E554" s="1" t="s">
        <v>2051</v>
      </c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">
        <v>8.0850691E7</v>
      </c>
      <c r="B555" s="1" t="s">
        <v>2052</v>
      </c>
      <c r="C555" s="1" t="s">
        <v>2053</v>
      </c>
      <c r="D555" s="2"/>
      <c r="E555" s="1" t="s">
        <v>2055</v>
      </c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">
        <v>8.0933285E7</v>
      </c>
      <c r="B556" s="1" t="s">
        <v>2057</v>
      </c>
      <c r="C556" s="1" t="s">
        <v>2058</v>
      </c>
      <c r="D556" s="2"/>
      <c r="E556" s="1" t="s">
        <v>2059</v>
      </c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">
        <v>7.9623138E7</v>
      </c>
      <c r="B557" s="1" t="s">
        <v>2061</v>
      </c>
      <c r="C557" s="1" t="s">
        <v>2062</v>
      </c>
      <c r="D557" s="1" t="s">
        <v>2063</v>
      </c>
      <c r="E557" s="1" t="s">
        <v>2064</v>
      </c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">
        <v>8.0821613E7</v>
      </c>
      <c r="B558" s="1" t="s">
        <v>2068</v>
      </c>
      <c r="C558" s="1" t="s">
        <v>2069</v>
      </c>
      <c r="D558" s="1" t="s">
        <v>2070</v>
      </c>
      <c r="E558" s="1" t="s">
        <v>2071</v>
      </c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">
        <v>1.020724881E9</v>
      </c>
      <c r="B559" s="1" t="s">
        <v>2073</v>
      </c>
      <c r="C559" s="1" t="s">
        <v>2074</v>
      </c>
      <c r="D559" s="1" t="s">
        <v>2075</v>
      </c>
      <c r="E559" s="1" t="s">
        <v>2076</v>
      </c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">
        <v>1.03247502E9</v>
      </c>
      <c r="B560" s="1" t="s">
        <v>2079</v>
      </c>
      <c r="C560" s="1" t="s">
        <v>2080</v>
      </c>
      <c r="D560" s="1" t="s">
        <v>2081</v>
      </c>
      <c r="E560" s="1" t="s">
        <v>2082</v>
      </c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">
        <v>1.010176239E9</v>
      </c>
      <c r="B561" s="1" t="s">
        <v>2085</v>
      </c>
      <c r="C561" s="1" t="s">
        <v>2086</v>
      </c>
      <c r="D561" s="1" t="s">
        <v>2088</v>
      </c>
      <c r="E561" s="1" t="s">
        <v>2089</v>
      </c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">
        <v>1.098728495E9</v>
      </c>
      <c r="B562" s="1" t="s">
        <v>2090</v>
      </c>
      <c r="C562" s="1" t="s">
        <v>2091</v>
      </c>
      <c r="D562" s="1" t="s">
        <v>2092</v>
      </c>
      <c r="E562" s="1" t="s">
        <v>2093</v>
      </c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">
        <v>7185485.0</v>
      </c>
      <c r="B563" s="1" t="s">
        <v>2096</v>
      </c>
      <c r="C563" s="1" t="s">
        <v>2097</v>
      </c>
      <c r="D563" s="1" t="s">
        <v>2022</v>
      </c>
      <c r="E563" s="1" t="s">
        <v>2099</v>
      </c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">
        <v>1.018407039E9</v>
      </c>
      <c r="B564" s="1" t="s">
        <v>2101</v>
      </c>
      <c r="C564" s="1" t="s">
        <v>2102</v>
      </c>
      <c r="D564" s="1" t="s">
        <v>2103</v>
      </c>
      <c r="E564" s="1" t="s">
        <v>2104</v>
      </c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" t="s">
        <v>2022</v>
      </c>
      <c r="B565" s="1" t="s">
        <v>2107</v>
      </c>
      <c r="C565" s="1" t="s">
        <v>2108</v>
      </c>
      <c r="D565" s="1" t="s">
        <v>2022</v>
      </c>
      <c r="E565" s="1" t="s">
        <v>2022</v>
      </c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">
        <v>8.0134023E7</v>
      </c>
      <c r="B566" s="1" t="s">
        <v>2110</v>
      </c>
      <c r="C566" s="1" t="s">
        <v>2111</v>
      </c>
      <c r="D566" s="2"/>
      <c r="E566" s="2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">
        <v>8.0035427E7</v>
      </c>
      <c r="B567" s="1" t="s">
        <v>2114</v>
      </c>
      <c r="C567" s="1" t="s">
        <v>2115</v>
      </c>
      <c r="D567" s="1" t="s">
        <v>2116</v>
      </c>
      <c r="E567" s="1" t="s">
        <v>2117</v>
      </c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">
        <v>1.023860285E9</v>
      </c>
      <c r="B568" s="1" t="s">
        <v>2120</v>
      </c>
      <c r="C568" s="2"/>
      <c r="D568" s="2"/>
      <c r="E568" s="2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">
        <v>1.0</v>
      </c>
      <c r="B569" s="1" t="s">
        <v>2122</v>
      </c>
      <c r="C569" s="2"/>
      <c r="D569" s="2"/>
      <c r="E569" s="2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">
        <v>1.07032603E9</v>
      </c>
      <c r="B570" s="1" t="s">
        <v>2125</v>
      </c>
      <c r="C570" s="1" t="s">
        <v>2126</v>
      </c>
      <c r="D570" s="1" t="s">
        <v>2127</v>
      </c>
      <c r="E570" s="1" t="s">
        <v>2128</v>
      </c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">
        <v>5689512.0</v>
      </c>
      <c r="B571" s="1" t="s">
        <v>2130</v>
      </c>
      <c r="C571" s="1" t="s">
        <v>2131</v>
      </c>
      <c r="D571" s="1" t="s">
        <v>2132</v>
      </c>
      <c r="E571" s="1" t="s">
        <v>2133</v>
      </c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">
        <v>1.020764956E9</v>
      </c>
      <c r="B572" s="1" t="s">
        <v>2135</v>
      </c>
      <c r="C572" s="1" t="s">
        <v>2136</v>
      </c>
      <c r="D572" s="2"/>
      <c r="E572" s="1" t="s">
        <v>2022</v>
      </c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">
        <v>1.118546976E9</v>
      </c>
      <c r="B573" s="1" t="s">
        <v>2138</v>
      </c>
      <c r="C573" s="2" t="str">
        <f>+057350 8045519 colombia</f>
        <v>#ERROR!</v>
      </c>
      <c r="D573" s="1" t="s">
        <v>2140</v>
      </c>
      <c r="E573" s="1" t="s">
        <v>2141</v>
      </c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">
        <v>1.049628993E9</v>
      </c>
      <c r="B574" s="1" t="s">
        <v>2144</v>
      </c>
      <c r="C574" s="1" t="s">
        <v>2145</v>
      </c>
      <c r="D574" s="1" t="s">
        <v>2022</v>
      </c>
      <c r="E574" s="1" t="s">
        <v>2146</v>
      </c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">
        <v>1.014862196E9</v>
      </c>
      <c r="B575" s="1" t="s">
        <v>2149</v>
      </c>
      <c r="C575" s="1" t="s">
        <v>2150</v>
      </c>
      <c r="D575" s="1" t="s">
        <v>2151</v>
      </c>
      <c r="E575" s="1" t="s">
        <v>2152</v>
      </c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">
        <v>8.023373E7</v>
      </c>
      <c r="B576" s="1" t="s">
        <v>2154</v>
      </c>
      <c r="C576" s="1" t="s">
        <v>2155</v>
      </c>
      <c r="D576" s="1" t="s">
        <v>2156</v>
      </c>
      <c r="E576" s="1" t="s">
        <v>2157</v>
      </c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">
        <v>3234078.0</v>
      </c>
      <c r="B577" s="1" t="s">
        <v>2160</v>
      </c>
      <c r="C577" s="2" t="str">
        <f>+057313 4305225 colombia</f>
        <v>#ERROR!</v>
      </c>
      <c r="D577" s="1" t="s">
        <v>2161</v>
      </c>
      <c r="E577" s="1" t="s">
        <v>2162</v>
      </c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">
        <v>8.0818086E7</v>
      </c>
      <c r="B578" s="1" t="s">
        <v>2164</v>
      </c>
      <c r="C578" s="1" t="s">
        <v>2165</v>
      </c>
      <c r="D578" s="1" t="s">
        <v>2166</v>
      </c>
      <c r="E578" s="1" t="s">
        <v>2167</v>
      </c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">
        <v>1.096209911E9</v>
      </c>
      <c r="B579" s="1" t="s">
        <v>2169</v>
      </c>
      <c r="C579" s="1" t="s">
        <v>2170</v>
      </c>
      <c r="D579" s="1" t="s">
        <v>2171</v>
      </c>
      <c r="E579" s="1" t="s">
        <v>2172</v>
      </c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">
        <v>7.3196903E7</v>
      </c>
      <c r="B580" s="1" t="s">
        <v>2175</v>
      </c>
      <c r="C580" s="1" t="s">
        <v>2176</v>
      </c>
      <c r="D580" s="1" t="s">
        <v>2177</v>
      </c>
      <c r="E580" s="1" t="s">
        <v>2178</v>
      </c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">
        <v>7.9450776E7</v>
      </c>
      <c r="B581" s="1" t="s">
        <v>2181</v>
      </c>
      <c r="C581" s="1" t="s">
        <v>2182</v>
      </c>
      <c r="D581" s="1" t="s">
        <v>2022</v>
      </c>
      <c r="E581" s="1" t="s">
        <v>2183</v>
      </c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">
        <v>1.010178875E9</v>
      </c>
      <c r="B582" s="1" t="s">
        <v>2186</v>
      </c>
      <c r="C582" s="1" t="s">
        <v>2187</v>
      </c>
      <c r="D582" s="1" t="s">
        <v>2188</v>
      </c>
      <c r="E582" s="1" t="s">
        <v>2189</v>
      </c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">
        <v>8.0038047E7</v>
      </c>
      <c r="B583" s="1" t="s">
        <v>2191</v>
      </c>
      <c r="C583" s="1" t="s">
        <v>2192</v>
      </c>
      <c r="D583" s="1" t="s">
        <v>2193</v>
      </c>
      <c r="E583" s="1" t="s">
        <v>2195</v>
      </c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">
        <v>1.001273073E9</v>
      </c>
      <c r="B584" s="1" t="s">
        <v>2197</v>
      </c>
      <c r="C584" s="1">
        <v>3.195150544E9</v>
      </c>
      <c r="D584" s="1" t="s">
        <v>2198</v>
      </c>
      <c r="E584" s="1" t="s">
        <v>2199</v>
      </c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">
        <v>1.094909975E9</v>
      </c>
      <c r="B585" s="1" t="s">
        <v>2201</v>
      </c>
      <c r="C585" s="1" t="s">
        <v>2202</v>
      </c>
      <c r="D585" s="1" t="s">
        <v>2203</v>
      </c>
      <c r="E585" s="2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">
        <v>8162861.0</v>
      </c>
      <c r="B586" s="1" t="s">
        <v>2205</v>
      </c>
      <c r="C586" s="1">
        <v>3.00620637E9</v>
      </c>
      <c r="D586" s="2"/>
      <c r="E586" s="2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"/>
      <c r="B587" s="1" t="s">
        <v>2207</v>
      </c>
      <c r="C587" s="1">
        <v>3.108609095E9</v>
      </c>
      <c r="D587" s="10" t="s">
        <v>2208</v>
      </c>
      <c r="E587" s="1" t="s">
        <v>2210</v>
      </c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">
        <v>7.3119767E7</v>
      </c>
      <c r="B588" s="1" t="s">
        <v>2213</v>
      </c>
      <c r="C588" s="1">
        <v>3.107243753E9</v>
      </c>
      <c r="D588" s="1" t="s">
        <v>2214</v>
      </c>
      <c r="E588" s="2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">
        <v>1.022439696E9</v>
      </c>
      <c r="B589" s="1" t="s">
        <v>2216</v>
      </c>
      <c r="C589" s="1">
        <v>3.023481439E9</v>
      </c>
      <c r="D589" s="2"/>
      <c r="E589" s="1" t="s">
        <v>2217</v>
      </c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">
        <v>8.0064337E7</v>
      </c>
      <c r="B590" s="1" t="s">
        <v>2219</v>
      </c>
      <c r="C590" s="1" t="s">
        <v>2220</v>
      </c>
      <c r="D590" s="1" t="s">
        <v>2221</v>
      </c>
      <c r="E590" s="1" t="s">
        <v>2222</v>
      </c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">
        <v>1.9390677E7</v>
      </c>
      <c r="B591" s="1" t="s">
        <v>2224</v>
      </c>
      <c r="C591" s="1" t="s">
        <v>2225</v>
      </c>
      <c r="D591" s="1" t="s">
        <v>2226</v>
      </c>
      <c r="E591" s="1" t="s">
        <v>2227</v>
      </c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">
        <v>267855.0</v>
      </c>
      <c r="B592" s="1" t="s">
        <v>2229</v>
      </c>
      <c r="C592" s="1" t="s">
        <v>2231</v>
      </c>
      <c r="D592" s="1" t="s">
        <v>2232</v>
      </c>
      <c r="E592" s="1" t="s">
        <v>2233</v>
      </c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">
        <v>8.0217109E7</v>
      </c>
      <c r="B593" s="1" t="s">
        <v>2235</v>
      </c>
      <c r="C593" s="1" t="s">
        <v>2236</v>
      </c>
      <c r="D593" s="1" t="s">
        <v>2022</v>
      </c>
      <c r="E593" s="1" t="s">
        <v>2238</v>
      </c>
      <c r="F593" s="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">
        <v>1.010101756E9</v>
      </c>
      <c r="B594" s="1" t="s">
        <v>2240</v>
      </c>
      <c r="C594" s="1" t="s">
        <v>2241</v>
      </c>
      <c r="D594" s="1" t="s">
        <v>2242</v>
      </c>
      <c r="E594" s="1" t="s">
        <v>2243</v>
      </c>
      <c r="F594" s="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">
        <v>1.014195207E9</v>
      </c>
      <c r="B595" s="1" t="s">
        <v>2245</v>
      </c>
      <c r="C595" s="1" t="s">
        <v>2246</v>
      </c>
      <c r="D595" s="1" t="s">
        <v>2247</v>
      </c>
      <c r="E595" s="1" t="s">
        <v>2248</v>
      </c>
      <c r="F595" s="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">
        <v>1.073669256E9</v>
      </c>
      <c r="B596" s="1" t="s">
        <v>2251</v>
      </c>
      <c r="C596" s="1" t="s">
        <v>2252</v>
      </c>
      <c r="D596" s="1" t="s">
        <v>2253</v>
      </c>
      <c r="E596" s="1" t="s">
        <v>2254</v>
      </c>
      <c r="F596" s="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">
        <v>9.1486907E7</v>
      </c>
      <c r="B597" s="1" t="s">
        <v>2256</v>
      </c>
      <c r="C597" s="1" t="s">
        <v>2257</v>
      </c>
      <c r="D597" s="1" t="s">
        <v>2258</v>
      </c>
      <c r="E597" s="1" t="s">
        <v>2259</v>
      </c>
      <c r="F597" s="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">
        <v>7.975509E7</v>
      </c>
      <c r="B598" s="1" t="s">
        <v>2262</v>
      </c>
      <c r="C598" s="1" t="s">
        <v>2263</v>
      </c>
      <c r="D598" s="1" t="s">
        <v>2022</v>
      </c>
      <c r="E598" s="1" t="s">
        <v>2264</v>
      </c>
      <c r="F598" s="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">
        <v>8.408992E7</v>
      </c>
      <c r="B599" s="1" t="s">
        <v>2266</v>
      </c>
      <c r="C599" s="1" t="s">
        <v>2267</v>
      </c>
      <c r="D599" s="1" t="s">
        <v>2268</v>
      </c>
      <c r="E599" s="1" t="s">
        <v>2269</v>
      </c>
      <c r="F599" s="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">
        <v>7.9571522E7</v>
      </c>
      <c r="B600" s="1" t="s">
        <v>2272</v>
      </c>
      <c r="C600" s="1" t="s">
        <v>2273</v>
      </c>
      <c r="D600" s="1" t="s">
        <v>2274</v>
      </c>
      <c r="E600" s="1" t="s">
        <v>2275</v>
      </c>
      <c r="F600" s="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">
        <v>8.0202482E7</v>
      </c>
      <c r="B601" s="1" t="s">
        <v>2277</v>
      </c>
      <c r="C601" s="1" t="s">
        <v>2279</v>
      </c>
      <c r="D601" s="1" t="s">
        <v>2280</v>
      </c>
      <c r="E601" s="1" t="s">
        <v>2281</v>
      </c>
      <c r="F601" s="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">
        <v>1.069720389E9</v>
      </c>
      <c r="B602" s="1" t="s">
        <v>2283</v>
      </c>
      <c r="C602" s="1" t="s">
        <v>2285</v>
      </c>
      <c r="D602" s="1" t="s">
        <v>2022</v>
      </c>
      <c r="E602" s="1" t="s">
        <v>2286</v>
      </c>
      <c r="F602" s="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">
        <v>7.7095289E7</v>
      </c>
      <c r="B603" s="1" t="s">
        <v>2288</v>
      </c>
      <c r="C603" s="1" t="s">
        <v>2289</v>
      </c>
      <c r="D603" s="1" t="s">
        <v>2290</v>
      </c>
      <c r="E603" s="1" t="s">
        <v>2291</v>
      </c>
      <c r="F603" s="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">
        <v>8.012419E7</v>
      </c>
      <c r="B604" s="1" t="s">
        <v>2293</v>
      </c>
      <c r="C604" s="1" t="s">
        <v>2294</v>
      </c>
      <c r="D604" s="1" t="s">
        <v>2295</v>
      </c>
      <c r="E604" s="1" t="s">
        <v>2296</v>
      </c>
      <c r="F604" s="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">
        <v>7.2204739E7</v>
      </c>
      <c r="B605" s="1" t="s">
        <v>2299</v>
      </c>
      <c r="C605" s="1" t="s">
        <v>2300</v>
      </c>
      <c r="D605" s="1" t="s">
        <v>2301</v>
      </c>
      <c r="E605" s="1" t="s">
        <v>2302</v>
      </c>
      <c r="F605" s="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">
        <v>1.019072316E9</v>
      </c>
      <c r="B606" s="1" t="s">
        <v>2305</v>
      </c>
      <c r="C606" s="1" t="s">
        <v>2306</v>
      </c>
      <c r="D606" s="1" t="s">
        <v>2022</v>
      </c>
      <c r="E606" s="1" t="s">
        <v>2307</v>
      </c>
      <c r="F606" s="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">
        <v>1.013634152E9</v>
      </c>
      <c r="B607" s="1" t="s">
        <v>2308</v>
      </c>
      <c r="C607" s="1" t="s">
        <v>2310</v>
      </c>
      <c r="D607" s="1" t="s">
        <v>2311</v>
      </c>
      <c r="E607" s="1" t="s">
        <v>2312</v>
      </c>
      <c r="F607" s="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">
        <v>7.9941822E7</v>
      </c>
      <c r="B608" s="1" t="s">
        <v>2315</v>
      </c>
      <c r="C608" s="2" t="str">
        <f>+0573106978111 COLOMBIA</f>
        <v>#ERROR!</v>
      </c>
      <c r="D608" s="1" t="s">
        <v>2316</v>
      </c>
      <c r="E608" s="1" t="s">
        <v>2317</v>
      </c>
      <c r="F608" s="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">
        <v>1.019084568E9</v>
      </c>
      <c r="B609" s="1" t="s">
        <v>2319</v>
      </c>
      <c r="C609" s="1" t="s">
        <v>2320</v>
      </c>
      <c r="D609" s="1" t="s">
        <v>2022</v>
      </c>
      <c r="E609" s="1" t="s">
        <v>2321</v>
      </c>
      <c r="F609" s="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">
        <v>7.9863533E7</v>
      </c>
      <c r="B610" s="1" t="s">
        <v>2324</v>
      </c>
      <c r="C610" s="1" t="s">
        <v>2325</v>
      </c>
      <c r="D610" s="1" t="s">
        <v>2022</v>
      </c>
      <c r="E610" s="1" t="s">
        <v>2326</v>
      </c>
      <c r="F610" s="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">
        <v>9.1015315E7</v>
      </c>
      <c r="B611" s="1" t="s">
        <v>2329</v>
      </c>
      <c r="C611" s="1" t="s">
        <v>2330</v>
      </c>
      <c r="D611" s="1" t="s">
        <v>2331</v>
      </c>
      <c r="E611" s="1" t="s">
        <v>2332</v>
      </c>
      <c r="F611" s="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">
        <v>1.083019458E9</v>
      </c>
      <c r="B612" s="1" t="s">
        <v>2335</v>
      </c>
      <c r="C612" s="1">
        <v>3.146749216E9</v>
      </c>
      <c r="D612" s="1" t="s">
        <v>2336</v>
      </c>
      <c r="E612" s="1" t="s">
        <v>2337</v>
      </c>
      <c r="F612" s="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">
        <v>7.9339558E7</v>
      </c>
      <c r="B613" s="1" t="s">
        <v>2340</v>
      </c>
      <c r="C613" s="1">
        <v>3.104852472E9</v>
      </c>
      <c r="D613" s="2"/>
      <c r="E613" s="2"/>
      <c r="F613" s="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5">
        <v>1.012391272E9</v>
      </c>
      <c r="B614" s="15" t="s">
        <v>2343</v>
      </c>
      <c r="C614" s="15" t="s">
        <v>2344</v>
      </c>
      <c r="D614" s="15" t="s">
        <v>2345</v>
      </c>
      <c r="E614" s="15" t="s">
        <v>2346</v>
      </c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:id="rId1" ref="F1"/>
    <hyperlink r:id="rId2" ref="F2"/>
    <hyperlink r:id="rId3" ref="F3"/>
    <hyperlink r:id="rId4" ref="F4"/>
    <hyperlink r:id="rId5" ref="F5"/>
    <hyperlink r:id="rId6" ref="F6"/>
    <hyperlink r:id="rId7" ref="F7"/>
    <hyperlink r:id="rId8" ref="F8"/>
    <hyperlink r:id="rId9" ref="F9"/>
    <hyperlink r:id="rId10" ref="F10"/>
    <hyperlink r:id="rId11" ref="F11"/>
    <hyperlink r:id="rId12" ref="F12"/>
    <hyperlink r:id="rId13" ref="F13"/>
    <hyperlink r:id="rId14" ref="F14"/>
    <hyperlink r:id="rId15" ref="F15"/>
    <hyperlink r:id="rId16" ref="F16"/>
    <hyperlink r:id="rId17" ref="F17"/>
    <hyperlink r:id="rId18" ref="F18"/>
    <hyperlink r:id="rId19" ref="F19"/>
    <hyperlink r:id="rId20" ref="F20"/>
    <hyperlink r:id="rId21" ref="F21"/>
    <hyperlink r:id="rId22" ref="F22"/>
    <hyperlink r:id="rId23" ref="F23"/>
    <hyperlink r:id="rId24" ref="F24"/>
    <hyperlink r:id="rId25" ref="F25"/>
    <hyperlink r:id="rId26" ref="F26"/>
    <hyperlink r:id="rId27" ref="F27"/>
    <hyperlink r:id="rId28" ref="D28"/>
    <hyperlink r:id="rId29" ref="F28"/>
    <hyperlink r:id="rId30" ref="F29"/>
    <hyperlink r:id="rId31" ref="F30"/>
    <hyperlink r:id="rId32" ref="F31"/>
    <hyperlink r:id="rId33" ref="F32"/>
    <hyperlink r:id="rId34" ref="F33"/>
    <hyperlink r:id="rId35" ref="F34"/>
    <hyperlink r:id="rId36" ref="F35"/>
    <hyperlink r:id="rId37" ref="F36"/>
    <hyperlink r:id="rId38" ref="F37"/>
    <hyperlink r:id="rId39" ref="F38"/>
    <hyperlink r:id="rId40" ref="F39"/>
    <hyperlink r:id="rId41" ref="F40"/>
    <hyperlink r:id="rId42" ref="F41"/>
    <hyperlink r:id="rId43" ref="F42"/>
    <hyperlink r:id="rId44" ref="F43"/>
    <hyperlink r:id="rId45" ref="F44"/>
    <hyperlink r:id="rId46" ref="F45"/>
    <hyperlink r:id="rId47" ref="F46"/>
    <hyperlink r:id="rId48" ref="F47"/>
    <hyperlink r:id="rId49" ref="F48"/>
    <hyperlink r:id="rId50" ref="F49"/>
    <hyperlink r:id="rId51" ref="F50"/>
    <hyperlink r:id="rId52" ref="F51"/>
    <hyperlink r:id="rId53" ref="F52"/>
    <hyperlink r:id="rId54" ref="F53"/>
    <hyperlink r:id="rId55" ref="F54"/>
    <hyperlink r:id="rId56" ref="F55"/>
    <hyperlink r:id="rId57" ref="F56"/>
    <hyperlink r:id="rId58" ref="F57"/>
    <hyperlink r:id="rId59" ref="F58"/>
    <hyperlink r:id="rId60" ref="F59"/>
    <hyperlink r:id="rId61" ref="F60"/>
    <hyperlink r:id="rId62" ref="F61"/>
    <hyperlink r:id="rId63" ref="F62"/>
    <hyperlink r:id="rId64" ref="F63"/>
    <hyperlink r:id="rId65" ref="F64"/>
    <hyperlink r:id="rId66" ref="F65"/>
    <hyperlink r:id="rId67" ref="F66"/>
    <hyperlink r:id="rId68" ref="F67"/>
    <hyperlink r:id="rId69" ref="F68"/>
    <hyperlink r:id="rId70" ref="F69"/>
    <hyperlink r:id="rId71" ref="F70"/>
    <hyperlink r:id="rId72" ref="F71"/>
    <hyperlink r:id="rId73" ref="F72"/>
    <hyperlink r:id="rId74" ref="F73"/>
    <hyperlink r:id="rId75" ref="F74"/>
    <hyperlink r:id="rId76" ref="F75"/>
    <hyperlink r:id="rId77" ref="F76"/>
    <hyperlink r:id="rId78" ref="F77"/>
    <hyperlink r:id="rId79" ref="F78"/>
    <hyperlink r:id="rId80" ref="F79"/>
    <hyperlink r:id="rId81" ref="F80"/>
    <hyperlink r:id="rId82" ref="F81"/>
    <hyperlink r:id="rId83" ref="F82"/>
    <hyperlink r:id="rId84" ref="F83"/>
    <hyperlink r:id="rId85" ref="F84"/>
    <hyperlink r:id="rId86" ref="F85"/>
    <hyperlink r:id="rId87" ref="F86"/>
    <hyperlink r:id="rId88" ref="F87"/>
    <hyperlink r:id="rId89" ref="F88"/>
    <hyperlink r:id="rId90" ref="F89"/>
    <hyperlink r:id="rId91" ref="F90"/>
    <hyperlink r:id="rId92" ref="F91"/>
    <hyperlink r:id="rId93" ref="F92"/>
    <hyperlink r:id="rId94" ref="F93"/>
    <hyperlink r:id="rId95" ref="F94"/>
    <hyperlink r:id="rId96" ref="F95"/>
    <hyperlink r:id="rId97" ref="F96"/>
    <hyperlink r:id="rId98" ref="F97"/>
    <hyperlink r:id="rId99" ref="F98"/>
    <hyperlink r:id="rId100" ref="F99"/>
    <hyperlink r:id="rId101" ref="F100"/>
    <hyperlink r:id="rId102" ref="F101"/>
    <hyperlink r:id="rId103" ref="F102"/>
    <hyperlink r:id="rId104" ref="F103"/>
    <hyperlink r:id="rId105" ref="F104"/>
    <hyperlink r:id="rId106" ref="F105"/>
    <hyperlink r:id="rId107" ref="F106"/>
    <hyperlink r:id="rId108" ref="F107"/>
    <hyperlink r:id="rId109" ref="F108"/>
    <hyperlink r:id="rId110" ref="F109"/>
    <hyperlink r:id="rId111" ref="F110"/>
    <hyperlink r:id="rId112" ref="F111"/>
    <hyperlink r:id="rId113" ref="F112"/>
    <hyperlink r:id="rId114" ref="F113"/>
    <hyperlink r:id="rId115" ref="F114"/>
    <hyperlink r:id="rId116" ref="F115"/>
    <hyperlink r:id="rId117" ref="F116"/>
    <hyperlink r:id="rId118" ref="F117"/>
    <hyperlink r:id="rId119" ref="F118"/>
    <hyperlink r:id="rId120" ref="F119"/>
    <hyperlink r:id="rId121" ref="F120"/>
    <hyperlink r:id="rId122" ref="F121"/>
    <hyperlink r:id="rId123" ref="F122"/>
    <hyperlink r:id="rId124" ref="F123"/>
    <hyperlink r:id="rId125" ref="F124"/>
    <hyperlink r:id="rId126" ref="F125"/>
    <hyperlink r:id="rId127" ref="F126"/>
    <hyperlink r:id="rId128" ref="F127"/>
    <hyperlink r:id="rId129" ref="F128"/>
    <hyperlink r:id="rId130" ref="F129"/>
    <hyperlink r:id="rId131" ref="F130"/>
    <hyperlink r:id="rId132" ref="F131"/>
    <hyperlink r:id="rId133" ref="F132"/>
    <hyperlink r:id="rId134" ref="F133"/>
    <hyperlink r:id="rId135" ref="F134"/>
    <hyperlink r:id="rId136" ref="F135"/>
    <hyperlink r:id="rId137" ref="F136"/>
    <hyperlink r:id="rId138" ref="F137"/>
    <hyperlink r:id="rId139" ref="F138"/>
    <hyperlink r:id="rId140" ref="F139"/>
    <hyperlink r:id="rId141" ref="F140"/>
    <hyperlink r:id="rId142" ref="F141"/>
    <hyperlink r:id="rId143" ref="F142"/>
    <hyperlink r:id="rId144" ref="F143"/>
    <hyperlink r:id="rId145" ref="F144"/>
    <hyperlink r:id="rId146" ref="F145"/>
    <hyperlink r:id="rId147" ref="F146"/>
    <hyperlink r:id="rId148" ref="F147"/>
    <hyperlink r:id="rId149" ref="F148"/>
    <hyperlink r:id="rId150" ref="F149"/>
    <hyperlink r:id="rId151" ref="F150"/>
    <hyperlink r:id="rId152" ref="F151"/>
    <hyperlink r:id="rId153" ref="F152"/>
    <hyperlink r:id="rId154" ref="F153"/>
    <hyperlink r:id="rId155" ref="F154"/>
    <hyperlink r:id="rId156" ref="F155"/>
    <hyperlink r:id="rId157" ref="F156"/>
    <hyperlink r:id="rId158" ref="F157"/>
    <hyperlink r:id="rId159" ref="F158"/>
    <hyperlink r:id="rId160" ref="F159"/>
    <hyperlink r:id="rId161" ref="F160"/>
    <hyperlink r:id="rId162" ref="F161"/>
    <hyperlink r:id="rId163" ref="F162"/>
    <hyperlink r:id="rId164" ref="F163"/>
    <hyperlink r:id="rId165" ref="F164"/>
    <hyperlink r:id="rId166" ref="F165"/>
    <hyperlink r:id="rId167" ref="F166"/>
    <hyperlink r:id="rId168" ref="F167"/>
    <hyperlink r:id="rId169" ref="F168"/>
    <hyperlink r:id="rId170" ref="F169"/>
    <hyperlink r:id="rId171" ref="F170"/>
    <hyperlink r:id="rId172" ref="F171"/>
    <hyperlink r:id="rId173" ref="F172"/>
    <hyperlink r:id="rId174" ref="F173"/>
    <hyperlink r:id="rId175" ref="F174"/>
    <hyperlink r:id="rId176" ref="F175"/>
    <hyperlink r:id="rId177" ref="F176"/>
    <hyperlink r:id="rId178" ref="F177"/>
    <hyperlink r:id="rId179" ref="F178"/>
    <hyperlink r:id="rId180" ref="F179"/>
    <hyperlink r:id="rId181" ref="F180"/>
    <hyperlink r:id="rId182" ref="F181"/>
    <hyperlink r:id="rId183" ref="F182"/>
    <hyperlink r:id="rId184" ref="F183"/>
    <hyperlink r:id="rId185" ref="F184"/>
    <hyperlink r:id="rId186" ref="F185"/>
    <hyperlink r:id="rId187" ref="F186"/>
    <hyperlink r:id="rId188" ref="F187"/>
    <hyperlink r:id="rId189" ref="F188"/>
    <hyperlink r:id="rId190" ref="F189"/>
    <hyperlink r:id="rId191" ref="F190"/>
    <hyperlink r:id="rId192" ref="F191"/>
    <hyperlink r:id="rId193" ref="F192"/>
    <hyperlink r:id="rId194" ref="F193"/>
    <hyperlink r:id="rId195" ref="F194"/>
    <hyperlink r:id="rId196" ref="F195"/>
    <hyperlink r:id="rId197" ref="F196"/>
    <hyperlink r:id="rId198" ref="F197"/>
    <hyperlink r:id="rId199" ref="F198"/>
    <hyperlink r:id="rId200" ref="F199"/>
    <hyperlink r:id="rId201" ref="F200"/>
    <hyperlink r:id="rId202" ref="F201"/>
    <hyperlink r:id="rId203" ref="F202"/>
    <hyperlink r:id="rId204" ref="F203"/>
    <hyperlink r:id="rId205" ref="F204"/>
    <hyperlink r:id="rId206" ref="F205"/>
    <hyperlink r:id="rId207" ref="F206"/>
    <hyperlink r:id="rId208" ref="F207"/>
    <hyperlink r:id="rId209" ref="F208"/>
    <hyperlink r:id="rId210" ref="F209"/>
    <hyperlink r:id="rId211" ref="F210"/>
    <hyperlink r:id="rId212" ref="F211"/>
    <hyperlink r:id="rId213" ref="F212"/>
    <hyperlink r:id="rId214" ref="F213"/>
    <hyperlink r:id="rId215" ref="F214"/>
    <hyperlink r:id="rId216" ref="F215"/>
    <hyperlink r:id="rId217" ref="F216"/>
    <hyperlink r:id="rId218" ref="F217"/>
    <hyperlink r:id="rId219" ref="F218"/>
    <hyperlink r:id="rId220" ref="F219"/>
    <hyperlink r:id="rId221" ref="F220"/>
    <hyperlink r:id="rId222" ref="F221"/>
    <hyperlink r:id="rId223" ref="F222"/>
    <hyperlink r:id="rId224" ref="F223"/>
    <hyperlink r:id="rId225" ref="F224"/>
    <hyperlink r:id="rId226" ref="F225"/>
    <hyperlink r:id="rId227" ref="F226"/>
    <hyperlink r:id="rId228" ref="F227"/>
    <hyperlink r:id="rId229" ref="F228"/>
    <hyperlink r:id="rId230" ref="F229"/>
    <hyperlink r:id="rId231" ref="F230"/>
    <hyperlink r:id="rId232" ref="F231"/>
    <hyperlink r:id="rId233" ref="F232"/>
    <hyperlink r:id="rId234" ref="F233"/>
    <hyperlink r:id="rId235" ref="F234"/>
    <hyperlink r:id="rId236" ref="F235"/>
    <hyperlink r:id="rId237" ref="F236"/>
    <hyperlink r:id="rId238" ref="F237"/>
    <hyperlink r:id="rId239" ref="F238"/>
    <hyperlink r:id="rId240" ref="F239"/>
    <hyperlink r:id="rId241" ref="F240"/>
    <hyperlink r:id="rId242" ref="F241"/>
    <hyperlink r:id="rId243" ref="F242"/>
    <hyperlink r:id="rId244" ref="F243"/>
    <hyperlink r:id="rId245" ref="F244"/>
    <hyperlink r:id="rId246" ref="F245"/>
    <hyperlink r:id="rId247" ref="F246"/>
    <hyperlink r:id="rId248" ref="F247"/>
    <hyperlink r:id="rId249" ref="F248"/>
    <hyperlink r:id="rId250" ref="F249"/>
    <hyperlink r:id="rId251" ref="F250"/>
    <hyperlink r:id="rId252" ref="F251"/>
    <hyperlink r:id="rId253" ref="F252"/>
    <hyperlink r:id="rId254" ref="F253"/>
    <hyperlink r:id="rId255" ref="F254"/>
    <hyperlink r:id="rId256" ref="F255"/>
    <hyperlink r:id="rId257" ref="F256"/>
    <hyperlink r:id="rId258" ref="F257"/>
    <hyperlink r:id="rId259" ref="F258"/>
    <hyperlink r:id="rId260" ref="F259"/>
    <hyperlink r:id="rId261" ref="F260"/>
    <hyperlink r:id="rId262" ref="F261"/>
    <hyperlink r:id="rId263" ref="F262"/>
    <hyperlink r:id="rId264" ref="F263"/>
    <hyperlink r:id="rId265" ref="F264"/>
    <hyperlink r:id="rId266" ref="F265"/>
    <hyperlink r:id="rId267" ref="F266"/>
    <hyperlink r:id="rId268" ref="F267"/>
    <hyperlink r:id="rId269" ref="F268"/>
    <hyperlink r:id="rId270" ref="F269"/>
    <hyperlink r:id="rId271" ref="F270"/>
    <hyperlink r:id="rId272" ref="F271"/>
    <hyperlink r:id="rId273" ref="F272"/>
    <hyperlink r:id="rId274" ref="F273"/>
    <hyperlink r:id="rId275" ref="F274"/>
    <hyperlink r:id="rId276" ref="F275"/>
    <hyperlink r:id="rId277" ref="F276"/>
    <hyperlink r:id="rId278" ref="F277"/>
    <hyperlink r:id="rId279" ref="F278"/>
    <hyperlink r:id="rId280" ref="F279"/>
    <hyperlink r:id="rId281" ref="F280"/>
    <hyperlink r:id="rId282" ref="F281"/>
    <hyperlink r:id="rId283" ref="F282"/>
    <hyperlink r:id="rId284" ref="F283"/>
    <hyperlink r:id="rId285" ref="F284"/>
    <hyperlink r:id="rId286" ref="F285"/>
    <hyperlink r:id="rId287" ref="F286"/>
    <hyperlink r:id="rId288" ref="F287"/>
    <hyperlink r:id="rId289" ref="F288"/>
    <hyperlink r:id="rId290" ref="F289"/>
    <hyperlink r:id="rId291" ref="F290"/>
    <hyperlink r:id="rId292" ref="F291"/>
    <hyperlink r:id="rId293" ref="F292"/>
    <hyperlink r:id="rId294" ref="F293"/>
    <hyperlink r:id="rId295" ref="F294"/>
    <hyperlink r:id="rId296" ref="F295"/>
    <hyperlink r:id="rId297" ref="F296"/>
    <hyperlink r:id="rId298" ref="F297"/>
    <hyperlink r:id="rId299" ref="F298"/>
    <hyperlink r:id="rId300" ref="F299"/>
    <hyperlink r:id="rId301" ref="F300"/>
    <hyperlink r:id="rId302" ref="F301"/>
    <hyperlink r:id="rId303" ref="F302"/>
    <hyperlink r:id="rId304" ref="F303"/>
    <hyperlink r:id="rId305" ref="F304"/>
    <hyperlink r:id="rId306" ref="F305"/>
    <hyperlink r:id="rId307" ref="F306"/>
    <hyperlink r:id="rId308" ref="F307"/>
    <hyperlink r:id="rId309" ref="F308"/>
    <hyperlink r:id="rId310" ref="F309"/>
    <hyperlink r:id="rId311" ref="F310"/>
    <hyperlink r:id="rId312" ref="F311"/>
    <hyperlink r:id="rId313" ref="F312"/>
    <hyperlink r:id="rId314" ref="F313"/>
    <hyperlink r:id="rId315" ref="F314"/>
    <hyperlink r:id="rId316" ref="F315"/>
    <hyperlink r:id="rId317" ref="F316"/>
    <hyperlink r:id="rId318" ref="F317"/>
    <hyperlink r:id="rId319" ref="F318"/>
    <hyperlink r:id="rId320" ref="F319"/>
    <hyperlink r:id="rId321" ref="F320"/>
    <hyperlink r:id="rId322" ref="F321"/>
    <hyperlink r:id="rId323" ref="F322"/>
    <hyperlink r:id="rId324" ref="F323"/>
    <hyperlink r:id="rId325" ref="F324"/>
    <hyperlink r:id="rId326" ref="F325"/>
    <hyperlink r:id="rId327" ref="F326"/>
    <hyperlink r:id="rId328" ref="F327"/>
    <hyperlink r:id="rId329" ref="F328"/>
    <hyperlink r:id="rId330" ref="F329"/>
    <hyperlink r:id="rId331" ref="F330"/>
    <hyperlink r:id="rId332" ref="F331"/>
    <hyperlink r:id="rId333" ref="F332"/>
    <hyperlink r:id="rId334" ref="F333"/>
    <hyperlink r:id="rId335" ref="F334"/>
    <hyperlink r:id="rId336" ref="F335"/>
    <hyperlink r:id="rId337" ref="F336"/>
    <hyperlink r:id="rId338" ref="F337"/>
    <hyperlink r:id="rId339" ref="F338"/>
    <hyperlink r:id="rId340" ref="F339"/>
    <hyperlink r:id="rId341" ref="F340"/>
    <hyperlink r:id="rId342" ref="F341"/>
    <hyperlink r:id="rId343" ref="F342"/>
    <hyperlink r:id="rId344" ref="F343"/>
    <hyperlink r:id="rId345" ref="F344"/>
    <hyperlink r:id="rId346" ref="F345"/>
    <hyperlink r:id="rId347" ref="F346"/>
    <hyperlink r:id="rId348" ref="F347"/>
    <hyperlink r:id="rId349" ref="F348"/>
    <hyperlink r:id="rId350" ref="F349"/>
    <hyperlink r:id="rId351" ref="F350"/>
    <hyperlink r:id="rId352" ref="F351"/>
    <hyperlink r:id="rId353" ref="F352"/>
    <hyperlink r:id="rId354" ref="F353"/>
    <hyperlink r:id="rId355" ref="F354"/>
    <hyperlink r:id="rId356" ref="F355"/>
    <hyperlink r:id="rId357" ref="F356"/>
    <hyperlink r:id="rId358" ref="F357"/>
    <hyperlink r:id="rId359" ref="F358"/>
    <hyperlink r:id="rId360" ref="F359"/>
    <hyperlink r:id="rId361" ref="F360"/>
    <hyperlink r:id="rId362" ref="F361"/>
    <hyperlink r:id="rId363" ref="F362"/>
    <hyperlink r:id="rId364" ref="F363"/>
    <hyperlink r:id="rId365" ref="F364"/>
    <hyperlink r:id="rId366" ref="F365"/>
    <hyperlink r:id="rId367" ref="F366"/>
    <hyperlink r:id="rId368" ref="F367"/>
    <hyperlink r:id="rId369" ref="F368"/>
    <hyperlink r:id="rId370" ref="F369"/>
    <hyperlink r:id="rId371" ref="F370"/>
    <hyperlink r:id="rId372" ref="F371"/>
    <hyperlink r:id="rId373" ref="F372"/>
    <hyperlink r:id="rId374" ref="F373"/>
    <hyperlink r:id="rId375" ref="F374"/>
    <hyperlink r:id="rId376" ref="F375"/>
    <hyperlink r:id="rId377" ref="F376"/>
    <hyperlink r:id="rId378" ref="F377"/>
    <hyperlink r:id="rId379" ref="F378"/>
    <hyperlink r:id="rId380" ref="F379"/>
    <hyperlink r:id="rId381" ref="F380"/>
    <hyperlink r:id="rId382" ref="F381"/>
    <hyperlink r:id="rId383" ref="F382"/>
    <hyperlink r:id="rId384" ref="F383"/>
    <hyperlink r:id="rId385" ref="F384"/>
    <hyperlink r:id="rId386" ref="F385"/>
    <hyperlink r:id="rId387" ref="F386"/>
    <hyperlink r:id="rId388" ref="F387"/>
    <hyperlink r:id="rId389" ref="F388"/>
    <hyperlink r:id="rId390" ref="F389"/>
    <hyperlink r:id="rId391" ref="F390"/>
    <hyperlink r:id="rId392" ref="F391"/>
    <hyperlink r:id="rId393" ref="F392"/>
    <hyperlink r:id="rId394" ref="F393"/>
    <hyperlink r:id="rId395" ref="F394"/>
    <hyperlink r:id="rId396" ref="F395"/>
    <hyperlink r:id="rId397" ref="F396"/>
    <hyperlink r:id="rId398" ref="F397"/>
    <hyperlink r:id="rId399" ref="F398"/>
    <hyperlink r:id="rId400" ref="F399"/>
    <hyperlink r:id="rId401" ref="F400"/>
    <hyperlink r:id="rId402" ref="F401"/>
    <hyperlink r:id="rId403" ref="F402"/>
    <hyperlink r:id="rId404" ref="F403"/>
    <hyperlink r:id="rId405" ref="F404"/>
    <hyperlink r:id="rId406" ref="F405"/>
    <hyperlink r:id="rId407" ref="F406"/>
    <hyperlink r:id="rId408" ref="F407"/>
    <hyperlink r:id="rId409" ref="F408"/>
    <hyperlink r:id="rId410" ref="F409"/>
    <hyperlink r:id="rId411" ref="F410"/>
    <hyperlink r:id="rId412" ref="F411"/>
    <hyperlink r:id="rId413" ref="F412"/>
    <hyperlink r:id="rId414" ref="F413"/>
    <hyperlink r:id="rId415" ref="F414"/>
    <hyperlink r:id="rId416" ref="F415"/>
    <hyperlink r:id="rId417" ref="F416"/>
    <hyperlink r:id="rId418" ref="F417"/>
    <hyperlink r:id="rId419" ref="F418"/>
    <hyperlink r:id="rId420" ref="F419"/>
    <hyperlink r:id="rId421" ref="F420"/>
    <hyperlink r:id="rId422" ref="F421"/>
    <hyperlink r:id="rId423" ref="F422"/>
    <hyperlink r:id="rId424" ref="F423"/>
    <hyperlink r:id="rId425" ref="F424"/>
    <hyperlink r:id="rId426" ref="F425"/>
    <hyperlink r:id="rId427" ref="F426"/>
    <hyperlink r:id="rId428" ref="F427"/>
    <hyperlink r:id="rId429" ref="F428"/>
    <hyperlink r:id="rId430" ref="F429"/>
    <hyperlink r:id="rId431" ref="F430"/>
    <hyperlink r:id="rId432" ref="F431"/>
    <hyperlink r:id="rId433" ref="F432"/>
    <hyperlink r:id="rId434" ref="F433"/>
    <hyperlink r:id="rId435" ref="F434"/>
    <hyperlink r:id="rId436" ref="F435"/>
    <hyperlink r:id="rId437" ref="F436"/>
    <hyperlink r:id="rId438" ref="F437"/>
    <hyperlink r:id="rId439" ref="F438"/>
    <hyperlink r:id="rId440" ref="F439"/>
    <hyperlink r:id="rId441" ref="F440"/>
    <hyperlink r:id="rId442" ref="F441"/>
    <hyperlink r:id="rId443" ref="F442"/>
    <hyperlink r:id="rId444" ref="F443"/>
    <hyperlink r:id="rId445" ref="F444"/>
    <hyperlink r:id="rId446" ref="F445"/>
    <hyperlink r:id="rId447" ref="F446"/>
    <hyperlink r:id="rId448" ref="F447"/>
    <hyperlink r:id="rId449" ref="F448"/>
    <hyperlink r:id="rId450" ref="F449"/>
    <hyperlink r:id="rId451" ref="F450"/>
    <hyperlink r:id="rId452" ref="F451"/>
    <hyperlink r:id="rId453" ref="F452"/>
    <hyperlink r:id="rId454" ref="F453"/>
    <hyperlink r:id="rId455" ref="F454"/>
    <hyperlink r:id="rId456" ref="F455"/>
    <hyperlink r:id="rId457" ref="F456"/>
    <hyperlink r:id="rId458" ref="F457"/>
    <hyperlink r:id="rId459" ref="F458"/>
    <hyperlink r:id="rId460" ref="F459"/>
    <hyperlink r:id="rId461" ref="F460"/>
    <hyperlink r:id="rId462" ref="F461"/>
    <hyperlink r:id="rId463" ref="F462"/>
    <hyperlink r:id="rId464" ref="F463"/>
    <hyperlink r:id="rId465" ref="F464"/>
    <hyperlink r:id="rId466" ref="F465"/>
    <hyperlink r:id="rId467" ref="F466"/>
    <hyperlink r:id="rId468" ref="F467"/>
    <hyperlink r:id="rId469" ref="F468"/>
    <hyperlink r:id="rId470" ref="F469"/>
    <hyperlink r:id="rId471" ref="F470"/>
    <hyperlink r:id="rId472" ref="F471"/>
    <hyperlink r:id="rId473" ref="F472"/>
    <hyperlink r:id="rId474" ref="F473"/>
    <hyperlink r:id="rId475" ref="F474"/>
    <hyperlink r:id="rId476" ref="F475"/>
    <hyperlink r:id="rId477" ref="F476"/>
    <hyperlink r:id="rId478" ref="F477"/>
    <hyperlink r:id="rId479" ref="F478"/>
    <hyperlink r:id="rId480" ref="F479"/>
    <hyperlink r:id="rId481" ref="F480"/>
    <hyperlink r:id="rId482" ref="F481"/>
    <hyperlink r:id="rId483" ref="F482"/>
    <hyperlink r:id="rId484" ref="F483"/>
    <hyperlink r:id="rId485" ref="F484"/>
    <hyperlink r:id="rId486" ref="F485"/>
    <hyperlink r:id="rId487" ref="F486"/>
    <hyperlink r:id="rId488" ref="F487"/>
    <hyperlink r:id="rId489" ref="F488"/>
    <hyperlink r:id="rId490" ref="F489"/>
    <hyperlink r:id="rId491" ref="F490"/>
    <hyperlink r:id="rId492" ref="F491"/>
    <hyperlink r:id="rId493" ref="F492"/>
    <hyperlink r:id="rId494" ref="F493"/>
    <hyperlink r:id="rId495" ref="F494"/>
    <hyperlink r:id="rId496" ref="F495"/>
    <hyperlink r:id="rId497" ref="F496"/>
    <hyperlink r:id="rId498" ref="F497"/>
    <hyperlink r:id="rId499" ref="F498"/>
    <hyperlink r:id="rId500" ref="F499"/>
    <hyperlink r:id="rId501" ref="F500"/>
    <hyperlink r:id="rId502" ref="F501"/>
    <hyperlink r:id="rId503" ref="F502"/>
    <hyperlink r:id="rId504" ref="F503"/>
    <hyperlink r:id="rId505" ref="F504"/>
    <hyperlink r:id="rId506" ref="F505"/>
    <hyperlink r:id="rId507" ref="F506"/>
    <hyperlink r:id="rId508" ref="F507"/>
    <hyperlink r:id="rId509" ref="F508"/>
    <hyperlink r:id="rId510" ref="F509"/>
    <hyperlink r:id="rId511" ref="F510"/>
    <hyperlink r:id="rId512" ref="F511"/>
    <hyperlink r:id="rId513" ref="F512"/>
    <hyperlink r:id="rId514" ref="F513"/>
    <hyperlink r:id="rId515" ref="F514"/>
    <hyperlink r:id="rId516" ref="F515"/>
    <hyperlink r:id="rId517" ref="F516"/>
    <hyperlink r:id="rId518" ref="F517"/>
    <hyperlink r:id="rId519" ref="F518"/>
    <hyperlink r:id="rId520" ref="F519"/>
    <hyperlink r:id="rId521" ref="F520"/>
    <hyperlink r:id="rId522" ref="F521"/>
    <hyperlink r:id="rId523" ref="F522"/>
    <hyperlink r:id="rId524" ref="F523"/>
    <hyperlink r:id="rId525" ref="F524"/>
    <hyperlink r:id="rId526" ref="F525"/>
    <hyperlink r:id="rId527" ref="F526"/>
    <hyperlink r:id="rId528" ref="F527"/>
    <hyperlink r:id="rId529" ref="F528"/>
    <hyperlink r:id="rId530" ref="F529"/>
    <hyperlink r:id="rId531" ref="F530"/>
    <hyperlink r:id="rId532" ref="F531"/>
    <hyperlink r:id="rId533" ref="F532"/>
    <hyperlink r:id="rId534" ref="F533"/>
    <hyperlink r:id="rId535" ref="F534"/>
    <hyperlink r:id="rId536" ref="F535"/>
    <hyperlink r:id="rId537" ref="F536"/>
    <hyperlink r:id="rId538" ref="F537"/>
    <hyperlink r:id="rId539" ref="F538"/>
    <hyperlink r:id="rId540" ref="F539"/>
    <hyperlink r:id="rId541" ref="F540"/>
    <hyperlink r:id="rId542" ref="F541"/>
    <hyperlink r:id="rId543" ref="F542"/>
    <hyperlink r:id="rId544" ref="F543"/>
    <hyperlink r:id="rId545" ref="F544"/>
    <hyperlink r:id="rId546" ref="F545"/>
    <hyperlink r:id="rId547" ref="F546"/>
    <hyperlink r:id="rId548" ref="F547"/>
    <hyperlink r:id="rId549" ref="F548"/>
    <hyperlink r:id="rId550" ref="F549"/>
    <hyperlink r:id="rId551" ref="F550"/>
    <hyperlink r:id="rId552" ref="F551"/>
    <hyperlink r:id="rId553" ref="F552"/>
    <hyperlink r:id="rId554" ref="F553"/>
    <hyperlink r:id="rId555" ref="F554"/>
    <hyperlink r:id="rId556" ref="F555"/>
    <hyperlink r:id="rId557" ref="F556"/>
    <hyperlink r:id="rId558" ref="F557"/>
    <hyperlink r:id="rId559" ref="F558"/>
    <hyperlink r:id="rId560" ref="F559"/>
    <hyperlink r:id="rId561" ref="F560"/>
    <hyperlink r:id="rId562" ref="F561"/>
    <hyperlink r:id="rId563" ref="F562"/>
    <hyperlink r:id="rId564" ref="F563"/>
    <hyperlink r:id="rId565" ref="F564"/>
    <hyperlink r:id="rId566" ref="F565"/>
    <hyperlink r:id="rId567" ref="F566"/>
    <hyperlink r:id="rId568" ref="F567"/>
    <hyperlink r:id="rId569" ref="F568"/>
    <hyperlink r:id="rId570" ref="F569"/>
    <hyperlink r:id="rId571" ref="F570"/>
    <hyperlink r:id="rId572" ref="F571"/>
    <hyperlink r:id="rId573" ref="F572"/>
    <hyperlink r:id="rId574" ref="F573"/>
    <hyperlink r:id="rId575" ref="F574"/>
    <hyperlink r:id="rId576" ref="F575"/>
    <hyperlink r:id="rId577" ref="F576"/>
    <hyperlink r:id="rId578" ref="F577"/>
    <hyperlink r:id="rId579" ref="F578"/>
    <hyperlink r:id="rId580" ref="F579"/>
    <hyperlink r:id="rId581" ref="F580"/>
    <hyperlink r:id="rId582" ref="F581"/>
    <hyperlink r:id="rId583" ref="F582"/>
    <hyperlink r:id="rId584" ref="F583"/>
    <hyperlink r:id="rId585" ref="F584"/>
    <hyperlink r:id="rId586" ref="F585"/>
    <hyperlink r:id="rId587" ref="F586"/>
    <hyperlink r:id="rId588" ref="D587"/>
    <hyperlink r:id="rId589" ref="F587"/>
    <hyperlink r:id="rId590" ref="F588"/>
    <hyperlink r:id="rId591" ref="F589"/>
    <hyperlink r:id="rId592" ref="F590"/>
    <hyperlink r:id="rId593" ref="F591"/>
    <hyperlink r:id="rId594" ref="F592"/>
    <hyperlink r:id="rId595" ref="F593"/>
    <hyperlink r:id="rId596" ref="F594"/>
    <hyperlink r:id="rId597" ref="F595"/>
    <hyperlink r:id="rId598" ref="F596"/>
    <hyperlink r:id="rId599" ref="F597"/>
    <hyperlink r:id="rId600" ref="F598"/>
    <hyperlink r:id="rId601" ref="F599"/>
    <hyperlink r:id="rId602" ref="F600"/>
    <hyperlink r:id="rId603" ref="F601"/>
    <hyperlink r:id="rId604" ref="F602"/>
    <hyperlink r:id="rId605" ref="F603"/>
    <hyperlink r:id="rId606" ref="F604"/>
    <hyperlink r:id="rId607" ref="F605"/>
    <hyperlink r:id="rId608" ref="F606"/>
    <hyperlink r:id="rId609" ref="F607"/>
    <hyperlink r:id="rId610" ref="F608"/>
    <hyperlink r:id="rId611" ref="F609"/>
    <hyperlink r:id="rId612" ref="F610"/>
    <hyperlink r:id="rId613" ref="F611"/>
    <hyperlink r:id="rId614" ref="F612"/>
    <hyperlink r:id="rId615" ref="F613"/>
  </hyperlinks>
  <drawing r:id="rId6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46.75"/>
    <col customWidth="1" min="3" max="3" width="20.5"/>
    <col customWidth="1" min="4" max="4" width="9.75"/>
    <col customWidth="1" min="5" max="5" width="13.75"/>
  </cols>
  <sheetData>
    <row r="1">
      <c r="A1" s="3" t="s">
        <v>1</v>
      </c>
      <c r="B1" s="3" t="s">
        <v>4</v>
      </c>
      <c r="C1" s="3" t="s">
        <v>5</v>
      </c>
      <c r="D1" s="3" t="s">
        <v>6</v>
      </c>
      <c r="E1" s="3" t="s">
        <v>7</v>
      </c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>
        <v>46227.426354166666</v>
      </c>
      <c r="B2" s="8" t="s">
        <v>9</v>
      </c>
      <c r="C2" s="1" t="s">
        <v>10</v>
      </c>
      <c r="D2" s="1" t="s">
        <v>11</v>
      </c>
      <c r="E2" s="9">
        <v>46227.0</v>
      </c>
      <c r="F2" s="2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>
        <v>46227.3940625</v>
      </c>
      <c r="B3" s="8" t="s">
        <v>14</v>
      </c>
      <c r="C3" s="1" t="s">
        <v>15</v>
      </c>
      <c r="D3" s="1" t="s">
        <v>11</v>
      </c>
      <c r="E3" s="9">
        <v>46227.0</v>
      </c>
      <c r="F3" s="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>
        <v>46227.38763888889</v>
      </c>
      <c r="B4" s="8" t="s">
        <v>17</v>
      </c>
      <c r="C4" s="1" t="s">
        <v>19</v>
      </c>
      <c r="D4" s="1" t="s">
        <v>11</v>
      </c>
      <c r="E4" s="9">
        <v>46227.0</v>
      </c>
      <c r="F4" s="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>
        <v>46227.36560185185</v>
      </c>
      <c r="B5" s="8" t="s">
        <v>21</v>
      </c>
      <c r="C5" s="1" t="s">
        <v>24</v>
      </c>
      <c r="D5" s="1" t="s">
        <v>11</v>
      </c>
      <c r="E5" s="9">
        <v>46227.0</v>
      </c>
      <c r="F5" s="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>
        <v>46227.36204861111</v>
      </c>
      <c r="B6" s="8" t="s">
        <v>27</v>
      </c>
      <c r="C6" s="1" t="s">
        <v>15</v>
      </c>
      <c r="D6" s="1" t="s">
        <v>11</v>
      </c>
      <c r="E6" s="9">
        <v>46227.0</v>
      </c>
      <c r="F6" s="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>
        <v>46227.348969907405</v>
      </c>
      <c r="B7" s="8" t="s">
        <v>31</v>
      </c>
      <c r="C7" s="1" t="s">
        <v>24</v>
      </c>
      <c r="D7" s="1" t="s">
        <v>11</v>
      </c>
      <c r="E7" s="9">
        <v>46227.0</v>
      </c>
      <c r="F7" s="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>
        <v>46227.33332175926</v>
      </c>
      <c r="B8" s="8" t="s">
        <v>35</v>
      </c>
      <c r="C8" s="1" t="s">
        <v>36</v>
      </c>
      <c r="D8" s="1" t="s">
        <v>11</v>
      </c>
      <c r="E8" s="9">
        <v>46227.0</v>
      </c>
      <c r="F8" s="2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>
        <v>46227.29888888889</v>
      </c>
      <c r="B9" s="8" t="s">
        <v>38</v>
      </c>
      <c r="C9" s="1" t="s">
        <v>36</v>
      </c>
      <c r="D9" s="1" t="s">
        <v>11</v>
      </c>
      <c r="E9" s="9">
        <v>46227.0</v>
      </c>
      <c r="F9" s="2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>
        <v>46227.252384259256</v>
      </c>
      <c r="B10" s="8" t="s">
        <v>42</v>
      </c>
      <c r="C10" s="1" t="s">
        <v>24</v>
      </c>
      <c r="D10" s="1" t="s">
        <v>11</v>
      </c>
      <c r="E10" s="9">
        <v>46227.0</v>
      </c>
      <c r="F10" s="2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>
        <v>46226.41701388889</v>
      </c>
      <c r="B11" s="8" t="s">
        <v>44</v>
      </c>
      <c r="C11" s="1" t="s">
        <v>36</v>
      </c>
      <c r="D11" s="1" t="s">
        <v>11</v>
      </c>
      <c r="E11" s="9">
        <v>46226.0</v>
      </c>
      <c r="F11" s="2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>
        <v>46226.36616898148</v>
      </c>
      <c r="B12" s="8" t="s">
        <v>49</v>
      </c>
      <c r="C12" s="1" t="s">
        <v>10</v>
      </c>
      <c r="D12" s="1" t="s">
        <v>11</v>
      </c>
      <c r="E12" s="9">
        <v>46226.0</v>
      </c>
      <c r="F12" s="2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>
        <v>46224.358506944445</v>
      </c>
      <c r="B13" s="8" t="s">
        <v>52</v>
      </c>
      <c r="C13" s="1" t="s">
        <v>10</v>
      </c>
      <c r="D13" s="1" t="s">
        <v>11</v>
      </c>
      <c r="E13" s="9">
        <v>46224.0</v>
      </c>
      <c r="F13" s="2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>
        <v>46221.58695601852</v>
      </c>
      <c r="B14" s="8" t="s">
        <v>55</v>
      </c>
      <c r="C14" s="1" t="s">
        <v>10</v>
      </c>
      <c r="D14" s="1" t="s">
        <v>11</v>
      </c>
      <c r="E14" s="9">
        <v>46221.0</v>
      </c>
      <c r="F14" s="2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>
        <v>46221.581412037034</v>
      </c>
      <c r="B15" s="8" t="s">
        <v>58</v>
      </c>
      <c r="C15" s="1" t="s">
        <v>36</v>
      </c>
      <c r="D15" s="1" t="s">
        <v>11</v>
      </c>
      <c r="E15" s="9">
        <v>46221.0</v>
      </c>
      <c r="F15" s="2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>
        <v>46221.571238425924</v>
      </c>
      <c r="B16" s="8" t="s">
        <v>61</v>
      </c>
      <c r="C16" s="1" t="s">
        <v>36</v>
      </c>
      <c r="D16" s="1" t="s">
        <v>11</v>
      </c>
      <c r="E16" s="9">
        <v>46221.0</v>
      </c>
      <c r="F16" s="2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>
        <v>46221.550416666665</v>
      </c>
      <c r="B17" s="8" t="s">
        <v>64</v>
      </c>
      <c r="C17" s="1" t="s">
        <v>65</v>
      </c>
      <c r="D17" s="1" t="s">
        <v>11</v>
      </c>
      <c r="E17" s="9">
        <v>46221.0</v>
      </c>
      <c r="F17" s="2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>
        <v>46221.539606481485</v>
      </c>
      <c r="B18" s="8" t="s">
        <v>66</v>
      </c>
      <c r="C18" s="1" t="s">
        <v>15</v>
      </c>
      <c r="D18" s="1" t="s">
        <v>11</v>
      </c>
      <c r="E18" s="9">
        <v>46221.0</v>
      </c>
      <c r="F18" s="2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>
        <v>46221.435625</v>
      </c>
      <c r="B19" s="8" t="s">
        <v>69</v>
      </c>
      <c r="C19" s="1" t="s">
        <v>10</v>
      </c>
      <c r="D19" s="1" t="s">
        <v>11</v>
      </c>
      <c r="E19" s="9">
        <v>46221.0</v>
      </c>
      <c r="F19" s="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>
        <v>46221.3940162037</v>
      </c>
      <c r="B20" s="8" t="s">
        <v>72</v>
      </c>
      <c r="C20" s="1" t="s">
        <v>73</v>
      </c>
      <c r="D20" s="1" t="s">
        <v>11</v>
      </c>
      <c r="E20" s="9">
        <v>46221.0</v>
      </c>
      <c r="F20" s="2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>
        <v>46219.403969907406</v>
      </c>
      <c r="B21" s="8" t="s">
        <v>74</v>
      </c>
      <c r="C21" s="1" t="s">
        <v>24</v>
      </c>
      <c r="D21" s="1" t="s">
        <v>11</v>
      </c>
      <c r="E21" s="9">
        <v>46219.0</v>
      </c>
      <c r="F21" s="2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>
        <v>46219.39141203704</v>
      </c>
      <c r="B22" s="8" t="s">
        <v>77</v>
      </c>
      <c r="C22" s="1" t="s">
        <v>24</v>
      </c>
      <c r="D22" s="1" t="s">
        <v>11</v>
      </c>
      <c r="E22" s="9">
        <v>46219.0</v>
      </c>
      <c r="F22" s="2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>
        <v>46219.35291666666</v>
      </c>
      <c r="B23" s="8" t="s">
        <v>82</v>
      </c>
      <c r="C23" s="1" t="s">
        <v>24</v>
      </c>
      <c r="D23" s="1" t="s">
        <v>11</v>
      </c>
      <c r="E23" s="9">
        <v>46219.0</v>
      </c>
      <c r="F23" s="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>
        <v>46219.346712962964</v>
      </c>
      <c r="B24" s="8" t="s">
        <v>85</v>
      </c>
      <c r="C24" s="1" t="s">
        <v>24</v>
      </c>
      <c r="D24" s="1" t="s">
        <v>11</v>
      </c>
      <c r="E24" s="9">
        <v>46219.0</v>
      </c>
      <c r="F24" s="2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">
        <v>46218.64326388889</v>
      </c>
      <c r="B25" s="8" t="s">
        <v>86</v>
      </c>
      <c r="C25" s="1" t="s">
        <v>24</v>
      </c>
      <c r="D25" s="1" t="s">
        <v>11</v>
      </c>
      <c r="E25" s="9">
        <v>46218.0</v>
      </c>
      <c r="F25" s="2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7">
        <v>46218.63847222222</v>
      </c>
      <c r="B26" s="8" t="s">
        <v>88</v>
      </c>
      <c r="C26" s="1" t="s">
        <v>24</v>
      </c>
      <c r="D26" s="1" t="s">
        <v>11</v>
      </c>
      <c r="E26" s="9">
        <v>46218.0</v>
      </c>
      <c r="F26" s="2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>
        <v>46218.61409722222</v>
      </c>
      <c r="B27" s="8" t="s">
        <v>91</v>
      </c>
      <c r="C27" s="1" t="s">
        <v>24</v>
      </c>
      <c r="D27" s="1" t="s">
        <v>11</v>
      </c>
      <c r="E27" s="9">
        <v>46218.0</v>
      </c>
      <c r="F27" s="2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7">
        <v>46218.59939814815</v>
      </c>
      <c r="B28" s="8" t="s">
        <v>94</v>
      </c>
      <c r="C28" s="1" t="s">
        <v>24</v>
      </c>
      <c r="D28" s="1" t="s">
        <v>11</v>
      </c>
      <c r="E28" s="9">
        <v>46218.0</v>
      </c>
      <c r="F28" s="2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>
        <v>46218.59260416667</v>
      </c>
      <c r="B29" s="8" t="s">
        <v>96</v>
      </c>
      <c r="C29" s="1" t="s">
        <v>24</v>
      </c>
      <c r="D29" s="1" t="s">
        <v>11</v>
      </c>
      <c r="E29" s="9">
        <v>46218.0</v>
      </c>
      <c r="F29" s="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>
        <v>46218.36133101852</v>
      </c>
      <c r="B30" s="8" t="s">
        <v>98</v>
      </c>
      <c r="C30" s="1" t="s">
        <v>99</v>
      </c>
      <c r="D30" s="1" t="s">
        <v>11</v>
      </c>
      <c r="E30" s="9">
        <v>46218.0</v>
      </c>
      <c r="F30" s="2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>
        <v>46218.346284722225</v>
      </c>
      <c r="B31" s="8" t="s">
        <v>103</v>
      </c>
      <c r="C31" s="1" t="s">
        <v>99</v>
      </c>
      <c r="D31" s="1" t="s">
        <v>11</v>
      </c>
      <c r="E31" s="9">
        <v>46218.0</v>
      </c>
      <c r="F31" s="2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">
        <v>46218.343125</v>
      </c>
      <c r="B32" s="8" t="s">
        <v>104</v>
      </c>
      <c r="C32" s="1" t="s">
        <v>36</v>
      </c>
      <c r="D32" s="1" t="s">
        <v>11</v>
      </c>
      <c r="E32" s="9">
        <v>46218.0</v>
      </c>
      <c r="F32" s="2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">
        <v>46218.33482638889</v>
      </c>
      <c r="B33" s="8" t="s">
        <v>108</v>
      </c>
      <c r="C33" s="1" t="s">
        <v>24</v>
      </c>
      <c r="D33" s="1" t="s">
        <v>11</v>
      </c>
      <c r="E33" s="9">
        <v>46218.0</v>
      </c>
      <c r="F33" s="2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">
        <v>46218.32865740741</v>
      </c>
      <c r="B34" s="8" t="s">
        <v>110</v>
      </c>
      <c r="C34" s="1" t="s">
        <v>19</v>
      </c>
      <c r="D34" s="1" t="s">
        <v>11</v>
      </c>
      <c r="E34" s="9">
        <v>46218.0</v>
      </c>
      <c r="F34" s="2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">
        <v>46213.47650462963</v>
      </c>
      <c r="B35" s="8" t="s">
        <v>113</v>
      </c>
      <c r="C35" s="1" t="s">
        <v>36</v>
      </c>
      <c r="D35" s="1" t="s">
        <v>11</v>
      </c>
      <c r="E35" s="9">
        <v>46213.0</v>
      </c>
      <c r="F35" s="2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>
        <v>46213.462488425925</v>
      </c>
      <c r="B36" s="8" t="s">
        <v>118</v>
      </c>
      <c r="C36" s="1" t="s">
        <v>10</v>
      </c>
      <c r="D36" s="1" t="s">
        <v>11</v>
      </c>
      <c r="E36" s="9">
        <v>46213.0</v>
      </c>
      <c r="F36" s="2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>
        <v>46213.42559027778</v>
      </c>
      <c r="B37" s="8" t="s">
        <v>123</v>
      </c>
      <c r="C37" s="1" t="s">
        <v>36</v>
      </c>
      <c r="D37" s="1" t="s">
        <v>11</v>
      </c>
      <c r="E37" s="9">
        <v>46213.0</v>
      </c>
      <c r="F37" s="2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7">
        <v>46211.53387731482</v>
      </c>
      <c r="B38" s="8" t="s">
        <v>127</v>
      </c>
      <c r="C38" s="1" t="s">
        <v>36</v>
      </c>
      <c r="D38" s="1" t="s">
        <v>11</v>
      </c>
      <c r="E38" s="9">
        <v>46212.0</v>
      </c>
      <c r="F38" s="2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7">
        <v>46211.5258912037</v>
      </c>
      <c r="B39" s="8" t="s">
        <v>128</v>
      </c>
      <c r="C39" s="1" t="s">
        <v>24</v>
      </c>
      <c r="D39" s="1" t="s">
        <v>11</v>
      </c>
      <c r="E39" s="9">
        <v>46212.0</v>
      </c>
      <c r="F39" s="2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7">
        <v>46211.50003472222</v>
      </c>
      <c r="B40" s="8" t="s">
        <v>129</v>
      </c>
      <c r="C40" s="1" t="s">
        <v>36</v>
      </c>
      <c r="D40" s="1" t="s">
        <v>11</v>
      </c>
      <c r="E40" s="9">
        <v>46212.0</v>
      </c>
      <c r="F40" s="2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7">
        <v>46211.49386574074</v>
      </c>
      <c r="B41" s="8" t="s">
        <v>133</v>
      </c>
      <c r="C41" s="1" t="s">
        <v>24</v>
      </c>
      <c r="D41" s="1" t="s">
        <v>11</v>
      </c>
      <c r="E41" s="9">
        <v>46212.0</v>
      </c>
      <c r="F41" s="2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7">
        <v>46211.49302083333</v>
      </c>
      <c r="B42" s="8" t="s">
        <v>136</v>
      </c>
      <c r="C42" s="1" t="s">
        <v>24</v>
      </c>
      <c r="D42" s="1" t="s">
        <v>11</v>
      </c>
      <c r="E42" s="9">
        <v>46212.0</v>
      </c>
      <c r="F42" s="2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7">
        <v>46211.48224537037</v>
      </c>
      <c r="B43" s="8" t="s">
        <v>139</v>
      </c>
      <c r="C43" s="1" t="s">
        <v>10</v>
      </c>
      <c r="D43" s="1" t="s">
        <v>11</v>
      </c>
      <c r="E43" s="9">
        <v>46214.0</v>
      </c>
      <c r="F43" s="2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7">
        <v>46211.47640046296</v>
      </c>
      <c r="B44" s="8" t="s">
        <v>143</v>
      </c>
      <c r="C44" s="1" t="s">
        <v>36</v>
      </c>
      <c r="D44" s="1" t="s">
        <v>11</v>
      </c>
      <c r="E44" s="9">
        <v>46211.0</v>
      </c>
      <c r="F44" s="2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7">
        <v>46211.461747685185</v>
      </c>
      <c r="B45" s="8" t="s">
        <v>148</v>
      </c>
      <c r="C45" s="1" t="s">
        <v>24</v>
      </c>
      <c r="D45" s="1" t="s">
        <v>11</v>
      </c>
      <c r="E45" s="9">
        <v>46211.0</v>
      </c>
      <c r="F45" s="2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7">
        <v>46210.35277777778</v>
      </c>
      <c r="B46" s="8" t="s">
        <v>153</v>
      </c>
      <c r="C46" s="1" t="s">
        <v>15</v>
      </c>
      <c r="D46" s="1" t="s">
        <v>11</v>
      </c>
      <c r="E46" s="9">
        <v>46210.0</v>
      </c>
      <c r="F46" s="2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7">
        <v>46204.69238425926</v>
      </c>
      <c r="B47" s="8" t="s">
        <v>154</v>
      </c>
      <c r="C47" s="1" t="s">
        <v>24</v>
      </c>
      <c r="D47" s="1" t="s">
        <v>11</v>
      </c>
      <c r="E47" s="9">
        <v>46204.0</v>
      </c>
      <c r="F47" s="2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7">
        <v>46204.60888888889</v>
      </c>
      <c r="B48" s="8" t="s">
        <v>159</v>
      </c>
      <c r="C48" s="1" t="s">
        <v>36</v>
      </c>
      <c r="D48" s="1" t="s">
        <v>11</v>
      </c>
      <c r="E48" s="9">
        <v>46204.0</v>
      </c>
      <c r="F48" s="2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7">
        <v>46204.34460648148</v>
      </c>
      <c r="B49" s="8" t="s">
        <v>164</v>
      </c>
      <c r="C49" s="1" t="s">
        <v>24</v>
      </c>
      <c r="D49" s="1" t="s">
        <v>11</v>
      </c>
      <c r="E49" s="9">
        <v>46204.0</v>
      </c>
      <c r="F49" s="2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7">
        <v>46204.33494212963</v>
      </c>
      <c r="B50" s="8" t="s">
        <v>168</v>
      </c>
      <c r="C50" s="1" t="s">
        <v>24</v>
      </c>
      <c r="D50" s="1" t="s">
        <v>11</v>
      </c>
      <c r="E50" s="9">
        <v>46204.0</v>
      </c>
      <c r="F50" s="2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7">
        <v>46203.59427083333</v>
      </c>
      <c r="B51" s="8" t="s">
        <v>172</v>
      </c>
      <c r="C51" s="1" t="s">
        <v>36</v>
      </c>
      <c r="D51" s="1" t="s">
        <v>11</v>
      </c>
      <c r="E51" s="9">
        <v>46203.0</v>
      </c>
      <c r="F51" s="2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7">
        <v>46203.44050925926</v>
      </c>
      <c r="B52" s="8" t="s">
        <v>174</v>
      </c>
      <c r="C52" s="1" t="s">
        <v>36</v>
      </c>
      <c r="D52" s="1" t="s">
        <v>11</v>
      </c>
      <c r="E52" s="9">
        <v>46203.0</v>
      </c>
      <c r="F52" s="2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7">
        <v>46203.42065972222</v>
      </c>
      <c r="B53" s="8" t="s">
        <v>180</v>
      </c>
      <c r="C53" s="1" t="s">
        <v>24</v>
      </c>
      <c r="D53" s="1" t="s">
        <v>11</v>
      </c>
      <c r="E53" s="9">
        <v>46203.0</v>
      </c>
      <c r="F53" s="2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7">
        <v>46203.41777777778</v>
      </c>
      <c r="B54" s="8" t="s">
        <v>183</v>
      </c>
      <c r="C54" s="1" t="s">
        <v>24</v>
      </c>
      <c r="D54" s="1" t="s">
        <v>11</v>
      </c>
      <c r="E54" s="9">
        <v>46203.0</v>
      </c>
      <c r="F54" s="2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7">
        <v>46197.66380787037</v>
      </c>
      <c r="B55" s="8" t="s">
        <v>184</v>
      </c>
      <c r="C55" s="1" t="s">
        <v>36</v>
      </c>
      <c r="D55" s="1" t="s">
        <v>11</v>
      </c>
      <c r="E55" s="9">
        <v>46197.0</v>
      </c>
      <c r="F55" s="2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7">
        <v>46197.64959490741</v>
      </c>
      <c r="B56" s="8" t="s">
        <v>187</v>
      </c>
      <c r="C56" s="1" t="s">
        <v>36</v>
      </c>
      <c r="D56" s="1" t="s">
        <v>11</v>
      </c>
      <c r="E56" s="9">
        <v>46197.0</v>
      </c>
      <c r="F56" s="2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7">
        <v>46197.373703703706</v>
      </c>
      <c r="B57" s="8" t="s">
        <v>190</v>
      </c>
      <c r="C57" s="1" t="s">
        <v>24</v>
      </c>
      <c r="D57" s="1" t="s">
        <v>11</v>
      </c>
      <c r="E57" s="9">
        <v>46197.0</v>
      </c>
      <c r="F57" s="2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7">
        <v>46197.356886574074</v>
      </c>
      <c r="B58" s="8" t="s">
        <v>193</v>
      </c>
      <c r="C58" s="1" t="s">
        <v>24</v>
      </c>
      <c r="D58" s="1" t="s">
        <v>11</v>
      </c>
      <c r="E58" s="9">
        <v>46197.0</v>
      </c>
      <c r="F58" s="2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7">
        <v>46196.37440972222</v>
      </c>
      <c r="B59" s="8" t="s">
        <v>194</v>
      </c>
      <c r="C59" s="1" t="s">
        <v>24</v>
      </c>
      <c r="D59" s="1" t="s">
        <v>11</v>
      </c>
      <c r="E59" s="9">
        <v>46196.0</v>
      </c>
      <c r="F59" s="2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7">
        <v>46196.369467592594</v>
      </c>
      <c r="B60" s="8" t="s">
        <v>198</v>
      </c>
      <c r="C60" s="1" t="s">
        <v>24</v>
      </c>
      <c r="D60" s="1" t="s">
        <v>11</v>
      </c>
      <c r="E60" s="9">
        <v>46196.0</v>
      </c>
      <c r="F60" s="2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7">
        <v>46193.398518518516</v>
      </c>
      <c r="B61" s="8" t="s">
        <v>199</v>
      </c>
      <c r="C61" s="1" t="s">
        <v>24</v>
      </c>
      <c r="D61" s="1" t="s">
        <v>11</v>
      </c>
      <c r="E61" s="9">
        <v>46193.0</v>
      </c>
      <c r="F61" s="2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7">
        <v>46193.371296296296</v>
      </c>
      <c r="B62" s="8" t="s">
        <v>206</v>
      </c>
      <c r="C62" s="1" t="s">
        <v>36</v>
      </c>
      <c r="D62" s="1" t="s">
        <v>11</v>
      </c>
      <c r="E62" s="9">
        <v>46193.0</v>
      </c>
      <c r="F62" s="2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7">
        <v>46192.712476851855</v>
      </c>
      <c r="B63" s="8" t="s">
        <v>213</v>
      </c>
      <c r="C63" s="1" t="s">
        <v>215</v>
      </c>
      <c r="D63" s="1" t="s">
        <v>11</v>
      </c>
      <c r="E63" s="9">
        <v>46192.0</v>
      </c>
      <c r="F63" s="2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7">
        <v>46192.69547453704</v>
      </c>
      <c r="B64" s="8" t="s">
        <v>216</v>
      </c>
      <c r="C64" s="1" t="s">
        <v>73</v>
      </c>
      <c r="D64" s="1" t="s">
        <v>11</v>
      </c>
      <c r="E64" s="9">
        <v>46192.0</v>
      </c>
      <c r="F64" s="2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7">
        <v>46192.69520833333</v>
      </c>
      <c r="B65" s="8" t="s">
        <v>220</v>
      </c>
      <c r="C65" s="1" t="s">
        <v>73</v>
      </c>
      <c r="D65" s="1" t="s">
        <v>11</v>
      </c>
      <c r="E65" s="9">
        <v>46192.0</v>
      </c>
      <c r="F65" s="2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7">
        <v>46192.69357638889</v>
      </c>
      <c r="B66" s="8" t="s">
        <v>223</v>
      </c>
      <c r="C66" s="1" t="s">
        <v>73</v>
      </c>
      <c r="D66" s="1" t="s">
        <v>11</v>
      </c>
      <c r="E66" s="9">
        <v>46192.0</v>
      </c>
      <c r="F66" s="2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7">
        <v>46192.66761574074</v>
      </c>
      <c r="B67" s="8" t="s">
        <v>225</v>
      </c>
      <c r="C67" s="1" t="s">
        <v>73</v>
      </c>
      <c r="D67" s="1" t="s">
        <v>11</v>
      </c>
      <c r="E67" s="9">
        <v>46192.0</v>
      </c>
      <c r="F67" s="2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7">
        <v>46192.6619212963</v>
      </c>
      <c r="B68" s="8" t="s">
        <v>226</v>
      </c>
      <c r="C68" s="1" t="s">
        <v>24</v>
      </c>
      <c r="D68" s="1" t="s">
        <v>11</v>
      </c>
      <c r="E68" s="9">
        <v>46192.0</v>
      </c>
      <c r="F68" s="2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7">
        <v>46192.65895833333</v>
      </c>
      <c r="B69" s="8" t="s">
        <v>229</v>
      </c>
      <c r="C69" s="1" t="s">
        <v>24</v>
      </c>
      <c r="D69" s="1" t="s">
        <v>11</v>
      </c>
      <c r="E69" s="9">
        <v>46192.0</v>
      </c>
      <c r="F69" s="2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7">
        <v>46192.65574074074</v>
      </c>
      <c r="B70" s="8" t="s">
        <v>230</v>
      </c>
      <c r="C70" s="1" t="s">
        <v>24</v>
      </c>
      <c r="D70" s="1" t="s">
        <v>11</v>
      </c>
      <c r="E70" s="9">
        <v>46192.0</v>
      </c>
      <c r="F70" s="2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7">
        <v>46184.38201388889</v>
      </c>
      <c r="B71" s="8" t="s">
        <v>233</v>
      </c>
      <c r="C71" s="1" t="s">
        <v>24</v>
      </c>
      <c r="D71" s="1" t="s">
        <v>11</v>
      </c>
      <c r="E71" s="9">
        <v>46184.0</v>
      </c>
      <c r="F71" s="2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7">
        <v>46184.36585648148</v>
      </c>
      <c r="B72" s="8" t="s">
        <v>236</v>
      </c>
      <c r="C72" s="1" t="s">
        <v>99</v>
      </c>
      <c r="D72" s="1" t="s">
        <v>11</v>
      </c>
      <c r="E72" s="9">
        <v>46184.0</v>
      </c>
      <c r="F72" s="2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7">
        <v>46184.36510416667</v>
      </c>
      <c r="B73" s="8" t="s">
        <v>239</v>
      </c>
      <c r="C73" s="1" t="s">
        <v>99</v>
      </c>
      <c r="D73" s="1" t="s">
        <v>11</v>
      </c>
      <c r="E73" s="9">
        <v>46184.0</v>
      </c>
      <c r="F73" s="2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7">
        <v>46183.40561342592</v>
      </c>
      <c r="B74" s="8" t="s">
        <v>240</v>
      </c>
      <c r="C74" s="1" t="s">
        <v>73</v>
      </c>
      <c r="D74" s="1" t="s">
        <v>11</v>
      </c>
      <c r="E74" s="9">
        <v>46183.0</v>
      </c>
      <c r="F74" s="2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7">
        <v>46182.54305555556</v>
      </c>
      <c r="B75" s="8" t="s">
        <v>242</v>
      </c>
      <c r="C75" s="1" t="s">
        <v>245</v>
      </c>
      <c r="D75" s="1" t="s">
        <v>11</v>
      </c>
      <c r="E75" s="9">
        <v>46182.0</v>
      </c>
      <c r="F75" s="2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7">
        <v>46182.53327546296</v>
      </c>
      <c r="B76" s="8" t="s">
        <v>246</v>
      </c>
      <c r="C76" s="1" t="s">
        <v>24</v>
      </c>
      <c r="D76" s="1" t="s">
        <v>11</v>
      </c>
      <c r="E76" s="9">
        <v>46182.0</v>
      </c>
      <c r="F76" s="2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7">
        <v>46182.43038194445</v>
      </c>
      <c r="B77" s="8" t="s">
        <v>248</v>
      </c>
      <c r="C77" s="1" t="s">
        <v>24</v>
      </c>
      <c r="D77" s="1" t="s">
        <v>11</v>
      </c>
      <c r="E77" s="9">
        <v>46182.0</v>
      </c>
      <c r="F77" s="2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7">
        <v>46182.426840277774</v>
      </c>
      <c r="B78" s="8" t="s">
        <v>249</v>
      </c>
      <c r="C78" s="1" t="s">
        <v>24</v>
      </c>
      <c r="D78" s="1" t="s">
        <v>11</v>
      </c>
      <c r="E78" s="9">
        <v>46182.0</v>
      </c>
      <c r="F78" s="2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7">
        <v>46177.43020833333</v>
      </c>
      <c r="B79" s="8" t="s">
        <v>253</v>
      </c>
      <c r="C79" s="1" t="s">
        <v>24</v>
      </c>
      <c r="D79" s="1" t="s">
        <v>11</v>
      </c>
      <c r="E79" s="9">
        <v>46177.0</v>
      </c>
      <c r="F79" s="2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7">
        <v>46177.42728009259</v>
      </c>
      <c r="B80" s="8" t="s">
        <v>258</v>
      </c>
      <c r="C80" s="1" t="s">
        <v>24</v>
      </c>
      <c r="D80" s="1" t="s">
        <v>11</v>
      </c>
      <c r="E80" s="9">
        <v>46177.0</v>
      </c>
      <c r="F80" s="2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7">
        <v>46177.42149305555</v>
      </c>
      <c r="B81" s="8" t="s">
        <v>260</v>
      </c>
      <c r="C81" s="1" t="s">
        <v>24</v>
      </c>
      <c r="D81" s="1" t="s">
        <v>11</v>
      </c>
      <c r="E81" s="9">
        <v>46177.0</v>
      </c>
      <c r="F81" s="2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7">
        <v>46177.41138888889</v>
      </c>
      <c r="B82" s="8" t="s">
        <v>265</v>
      </c>
      <c r="C82" s="1" t="s">
        <v>24</v>
      </c>
      <c r="D82" s="1" t="s">
        <v>11</v>
      </c>
      <c r="E82" s="9">
        <v>46177.0</v>
      </c>
      <c r="F82" s="2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7">
        <v>46177.40689814815</v>
      </c>
      <c r="B83" s="8" t="s">
        <v>271</v>
      </c>
      <c r="C83" s="1" t="s">
        <v>24</v>
      </c>
      <c r="D83" s="1" t="s">
        <v>11</v>
      </c>
      <c r="E83" s="9">
        <v>46177.0</v>
      </c>
      <c r="F83" s="2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7">
        <v>46177.40351851852</v>
      </c>
      <c r="B84" s="8" t="s">
        <v>274</v>
      </c>
      <c r="C84" s="1" t="s">
        <v>24</v>
      </c>
      <c r="D84" s="1" t="s">
        <v>11</v>
      </c>
      <c r="E84" s="9">
        <v>46177.0</v>
      </c>
      <c r="F84" s="2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7">
        <v>46174.49277777778</v>
      </c>
      <c r="B85" s="8" t="s">
        <v>276</v>
      </c>
      <c r="C85" s="1" t="s">
        <v>24</v>
      </c>
      <c r="D85" s="1" t="s">
        <v>11</v>
      </c>
      <c r="E85" s="9">
        <v>46174.0</v>
      </c>
      <c r="F85" s="2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7">
        <v>46174.4837962963</v>
      </c>
      <c r="B86" s="8" t="s">
        <v>281</v>
      </c>
      <c r="C86" s="1" t="s">
        <v>15</v>
      </c>
      <c r="D86" s="1" t="s">
        <v>11</v>
      </c>
      <c r="E86" s="9">
        <v>46174.0</v>
      </c>
      <c r="F86" s="2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7">
        <v>46174.48125</v>
      </c>
      <c r="B87" s="8" t="s">
        <v>284</v>
      </c>
      <c r="C87" s="1" t="s">
        <v>36</v>
      </c>
      <c r="D87" s="1" t="s">
        <v>11</v>
      </c>
      <c r="E87" s="9">
        <v>46174.0</v>
      </c>
      <c r="F87" s="2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7">
        <v>46174.476122685184</v>
      </c>
      <c r="B88" s="8" t="s">
        <v>285</v>
      </c>
      <c r="C88" s="1" t="s">
        <v>24</v>
      </c>
      <c r="D88" s="1" t="s">
        <v>11</v>
      </c>
      <c r="E88" s="9">
        <v>46174.0</v>
      </c>
      <c r="F88" s="2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7">
        <v>46174.474375</v>
      </c>
      <c r="B89" s="8" t="s">
        <v>288</v>
      </c>
      <c r="C89" s="1" t="s">
        <v>24</v>
      </c>
      <c r="D89" s="1" t="s">
        <v>11</v>
      </c>
      <c r="E89" s="9">
        <v>46174.0</v>
      </c>
      <c r="F89" s="2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7">
        <v>46174.472349537034</v>
      </c>
      <c r="B90" s="8" t="s">
        <v>289</v>
      </c>
      <c r="C90" s="1" t="s">
        <v>24</v>
      </c>
      <c r="D90" s="1" t="s">
        <v>11</v>
      </c>
      <c r="E90" s="9">
        <v>46174.0</v>
      </c>
      <c r="F90" s="2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7">
        <v>46174.46958333333</v>
      </c>
      <c r="B91" s="8" t="s">
        <v>292</v>
      </c>
      <c r="C91" s="1" t="s">
        <v>24</v>
      </c>
      <c r="D91" s="1" t="s">
        <v>11</v>
      </c>
      <c r="E91" s="9">
        <v>46174.0</v>
      </c>
      <c r="F91" s="2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7">
        <v>46168.453576388885</v>
      </c>
      <c r="B92" s="8" t="s">
        <v>296</v>
      </c>
      <c r="C92" s="1" t="s">
        <v>24</v>
      </c>
      <c r="D92" s="1" t="s">
        <v>11</v>
      </c>
      <c r="E92" s="9">
        <v>46168.0</v>
      </c>
      <c r="F92" s="2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7">
        <v>46168.43173611111</v>
      </c>
      <c r="B93" s="8" t="s">
        <v>298</v>
      </c>
      <c r="C93" s="1" t="s">
        <v>10</v>
      </c>
      <c r="D93" s="1" t="s">
        <v>11</v>
      </c>
      <c r="E93" s="9">
        <v>46168.0</v>
      </c>
      <c r="F93" s="2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7">
        <v>46167.818391203706</v>
      </c>
      <c r="B94" s="8" t="s">
        <v>300</v>
      </c>
      <c r="C94" s="1" t="s">
        <v>24</v>
      </c>
      <c r="D94" s="1" t="s">
        <v>11</v>
      </c>
      <c r="E94" s="9">
        <v>46167.0</v>
      </c>
      <c r="F94" s="2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7">
        <v>46167.81560185185</v>
      </c>
      <c r="B95" s="8" t="s">
        <v>302</v>
      </c>
      <c r="C95" s="1" t="s">
        <v>24</v>
      </c>
      <c r="D95" s="1" t="s">
        <v>11</v>
      </c>
      <c r="E95" s="9">
        <v>46167.0</v>
      </c>
      <c r="F95" s="2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7">
        <v>46167.81309027778</v>
      </c>
      <c r="B96" s="8" t="s">
        <v>303</v>
      </c>
      <c r="C96" s="1" t="s">
        <v>24</v>
      </c>
      <c r="D96" s="1" t="s">
        <v>11</v>
      </c>
      <c r="E96" s="9">
        <v>46167.0</v>
      </c>
      <c r="F96" s="2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7">
        <v>46167.812268518515</v>
      </c>
      <c r="B97" s="8" t="s">
        <v>308</v>
      </c>
      <c r="C97" s="1" t="s">
        <v>24</v>
      </c>
      <c r="D97" s="1" t="s">
        <v>11</v>
      </c>
      <c r="E97" s="9">
        <v>46167.0</v>
      </c>
      <c r="F97" s="2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7">
        <v>46167.80726851852</v>
      </c>
      <c r="B98" s="8" t="s">
        <v>314</v>
      </c>
      <c r="C98" s="1" t="s">
        <v>24</v>
      </c>
      <c r="D98" s="1" t="s">
        <v>11</v>
      </c>
      <c r="E98" s="9">
        <v>46167.0</v>
      </c>
      <c r="F98" s="2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7">
        <v>46167.800520833334</v>
      </c>
      <c r="B99" s="8" t="s">
        <v>320</v>
      </c>
      <c r="C99" s="1" t="s">
        <v>10</v>
      </c>
      <c r="D99" s="1" t="s">
        <v>11</v>
      </c>
      <c r="E99" s="9">
        <v>46167.0</v>
      </c>
      <c r="F99" s="2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7">
        <v>46167.77506944445</v>
      </c>
      <c r="B100" s="8" t="s">
        <v>322</v>
      </c>
      <c r="C100" s="1" t="s">
        <v>24</v>
      </c>
      <c r="D100" s="1" t="s">
        <v>11</v>
      </c>
      <c r="E100" s="9">
        <v>46167.0</v>
      </c>
      <c r="F100" s="2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7">
        <v>46167.76590277778</v>
      </c>
      <c r="B101" s="8" t="s">
        <v>323</v>
      </c>
      <c r="C101" s="1" t="s">
        <v>215</v>
      </c>
      <c r="D101" s="1" t="s">
        <v>11</v>
      </c>
      <c r="E101" s="9">
        <v>46167.0</v>
      </c>
      <c r="F101" s="2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7">
        <v>46167.642175925925</v>
      </c>
      <c r="B102" s="8" t="s">
        <v>325</v>
      </c>
      <c r="C102" s="1" t="s">
        <v>10</v>
      </c>
      <c r="D102" s="1" t="s">
        <v>11</v>
      </c>
      <c r="E102" s="9">
        <v>46167.0</v>
      </c>
      <c r="F102" s="2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7">
        <v>46167.6391087963</v>
      </c>
      <c r="B103" s="8" t="s">
        <v>326</v>
      </c>
      <c r="C103" s="1" t="s">
        <v>24</v>
      </c>
      <c r="D103" s="1" t="s">
        <v>11</v>
      </c>
      <c r="E103" s="9">
        <v>46167.0</v>
      </c>
      <c r="F103" s="2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7">
        <v>46167.637557870374</v>
      </c>
      <c r="B104" s="8" t="s">
        <v>330</v>
      </c>
      <c r="C104" s="1" t="s">
        <v>24</v>
      </c>
      <c r="D104" s="1" t="s">
        <v>11</v>
      </c>
      <c r="E104" s="9">
        <v>46167.0</v>
      </c>
      <c r="F104" s="2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7">
        <v>46167.635717592595</v>
      </c>
      <c r="B105" s="8" t="s">
        <v>334</v>
      </c>
      <c r="C105" s="1" t="s">
        <v>24</v>
      </c>
      <c r="D105" s="1" t="s">
        <v>11</v>
      </c>
      <c r="E105" s="9">
        <v>46167.0</v>
      </c>
      <c r="F105" s="2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7">
        <v>46167.63322916667</v>
      </c>
      <c r="B106" s="8" t="s">
        <v>335</v>
      </c>
      <c r="C106" s="1" t="s">
        <v>24</v>
      </c>
      <c r="D106" s="1" t="s">
        <v>11</v>
      </c>
      <c r="E106" s="9">
        <v>46167.0</v>
      </c>
      <c r="F106" s="2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7">
        <v>46167.62165509259</v>
      </c>
      <c r="B107" s="8" t="s">
        <v>339</v>
      </c>
      <c r="C107" s="1" t="s">
        <v>24</v>
      </c>
      <c r="D107" s="1" t="s">
        <v>11</v>
      </c>
      <c r="E107" s="9">
        <v>46167.0</v>
      </c>
      <c r="F107" s="2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7">
        <v>46167.356828703705</v>
      </c>
      <c r="B108" s="8" t="s">
        <v>340</v>
      </c>
      <c r="C108" s="1" t="s">
        <v>24</v>
      </c>
      <c r="D108" s="1" t="s">
        <v>11</v>
      </c>
      <c r="E108" s="9">
        <v>46167.0</v>
      </c>
      <c r="F108" s="2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7">
        <v>46167.34930555556</v>
      </c>
      <c r="B109" s="8" t="s">
        <v>344</v>
      </c>
      <c r="C109" s="1" t="s">
        <v>24</v>
      </c>
      <c r="D109" s="1" t="s">
        <v>11</v>
      </c>
      <c r="E109" s="9">
        <v>46167.0</v>
      </c>
      <c r="F109" s="2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7">
        <v>46166.32011574074</v>
      </c>
      <c r="B110" s="8" t="s">
        <v>345</v>
      </c>
      <c r="C110" s="1" t="s">
        <v>245</v>
      </c>
      <c r="D110" s="1" t="s">
        <v>11</v>
      </c>
      <c r="E110" s="9">
        <v>46166.0</v>
      </c>
      <c r="F110" s="2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7">
        <v>46156.851319444446</v>
      </c>
      <c r="B111" s="8" t="s">
        <v>349</v>
      </c>
      <c r="C111" s="1" t="s">
        <v>10</v>
      </c>
      <c r="D111" s="1" t="s">
        <v>11</v>
      </c>
      <c r="E111" s="9">
        <v>46156.0</v>
      </c>
      <c r="F111" s="2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7">
        <v>46156.33725694445</v>
      </c>
      <c r="B112" s="8" t="s">
        <v>357</v>
      </c>
      <c r="C112" s="1" t="s">
        <v>24</v>
      </c>
      <c r="D112" s="1" t="s">
        <v>11</v>
      </c>
      <c r="E112" s="9">
        <v>46156.0</v>
      </c>
      <c r="F112" s="2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7">
        <v>46153.492210648146</v>
      </c>
      <c r="B113" s="8" t="s">
        <v>359</v>
      </c>
      <c r="C113" s="1" t="s">
        <v>36</v>
      </c>
      <c r="D113" s="1" t="s">
        <v>11</v>
      </c>
      <c r="E113" s="9">
        <v>46153.0</v>
      </c>
      <c r="F113" s="2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7">
        <v>46153.43697916667</v>
      </c>
      <c r="B114" s="8" t="s">
        <v>362</v>
      </c>
      <c r="C114" s="1" t="s">
        <v>73</v>
      </c>
      <c r="D114" s="1" t="s">
        <v>11</v>
      </c>
      <c r="E114" s="9">
        <v>46153.0</v>
      </c>
      <c r="F114" s="2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7">
        <v>46153.42493055556</v>
      </c>
      <c r="B115" s="8" t="s">
        <v>367</v>
      </c>
      <c r="C115" s="1" t="s">
        <v>10</v>
      </c>
      <c r="D115" s="1" t="s">
        <v>11</v>
      </c>
      <c r="E115" s="9">
        <v>46153.0</v>
      </c>
      <c r="F115" s="2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7">
        <v>46153.4209837963</v>
      </c>
      <c r="B116" s="8" t="s">
        <v>371</v>
      </c>
      <c r="C116" s="1" t="s">
        <v>10</v>
      </c>
      <c r="D116" s="1" t="s">
        <v>11</v>
      </c>
      <c r="E116" s="9">
        <v>46153.0</v>
      </c>
      <c r="F116" s="2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7">
        <v>46153.40886574074</v>
      </c>
      <c r="B117" s="8" t="s">
        <v>374</v>
      </c>
      <c r="C117" s="1" t="s">
        <v>24</v>
      </c>
      <c r="D117" s="1" t="s">
        <v>11</v>
      </c>
      <c r="E117" s="9">
        <v>46154.0</v>
      </c>
      <c r="F117" s="2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7">
        <v>46153.40758101852</v>
      </c>
      <c r="B118" s="8" t="s">
        <v>375</v>
      </c>
      <c r="C118" s="1" t="s">
        <v>24</v>
      </c>
      <c r="D118" s="1" t="s">
        <v>11</v>
      </c>
      <c r="E118" s="9">
        <v>46154.0</v>
      </c>
      <c r="F118" s="2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7">
        <v>46153.40568287037</v>
      </c>
      <c r="B119" s="8" t="s">
        <v>378</v>
      </c>
      <c r="C119" s="1" t="s">
        <v>15</v>
      </c>
      <c r="D119" s="1" t="s">
        <v>11</v>
      </c>
      <c r="E119" s="9">
        <v>46153.0</v>
      </c>
      <c r="F119" s="2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7">
        <v>46153.401400462964</v>
      </c>
      <c r="B120" s="8" t="s">
        <v>382</v>
      </c>
      <c r="C120" s="1" t="s">
        <v>36</v>
      </c>
      <c r="D120" s="1" t="s">
        <v>11</v>
      </c>
      <c r="E120" s="9">
        <v>46153.0</v>
      </c>
      <c r="F120" s="2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7">
        <v>46151.69493055555</v>
      </c>
      <c r="B121" s="8" t="s">
        <v>384</v>
      </c>
      <c r="C121" s="1" t="s">
        <v>24</v>
      </c>
      <c r="D121" s="1" t="s">
        <v>11</v>
      </c>
      <c r="E121" s="9">
        <v>46151.0</v>
      </c>
      <c r="F121" s="2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7">
        <v>46151.6931712963</v>
      </c>
      <c r="B122" s="8" t="s">
        <v>387</v>
      </c>
      <c r="C122" s="1" t="s">
        <v>36</v>
      </c>
      <c r="D122" s="1" t="s">
        <v>11</v>
      </c>
      <c r="E122" s="9">
        <v>46151.0</v>
      </c>
      <c r="F122" s="2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7">
        <v>46149.38452546296</v>
      </c>
      <c r="B123" s="8" t="s">
        <v>388</v>
      </c>
      <c r="C123" s="1" t="s">
        <v>36</v>
      </c>
      <c r="D123" s="1" t="s">
        <v>11</v>
      </c>
      <c r="E123" s="9">
        <v>46149.0</v>
      </c>
      <c r="F123" s="2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7">
        <v>46146.713692129626</v>
      </c>
      <c r="B124" s="8" t="s">
        <v>391</v>
      </c>
      <c r="C124" s="1" t="s">
        <v>36</v>
      </c>
      <c r="D124" s="1" t="s">
        <v>11</v>
      </c>
      <c r="E124" s="9">
        <v>46146.0</v>
      </c>
      <c r="F124" s="2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7">
        <v>46146.70180555555</v>
      </c>
      <c r="B125" s="8" t="s">
        <v>393</v>
      </c>
      <c r="C125" s="1" t="s">
        <v>36</v>
      </c>
      <c r="D125" s="1" t="s">
        <v>11</v>
      </c>
      <c r="E125" s="9">
        <v>46146.0</v>
      </c>
      <c r="F125" s="2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7">
        <v>46141.445601851854</v>
      </c>
      <c r="B126" s="8" t="s">
        <v>394</v>
      </c>
      <c r="C126" s="1" t="s">
        <v>15</v>
      </c>
      <c r="D126" s="1" t="s">
        <v>11</v>
      </c>
      <c r="E126" s="9">
        <v>46141.0</v>
      </c>
      <c r="F126" s="2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7">
        <v>46141.43487268518</v>
      </c>
      <c r="B127" s="8" t="s">
        <v>400</v>
      </c>
      <c r="C127" s="1" t="s">
        <v>24</v>
      </c>
      <c r="D127" s="1" t="s">
        <v>11</v>
      </c>
      <c r="E127" s="9">
        <v>46141.0</v>
      </c>
      <c r="F127" s="2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7">
        <v>46141.43200231482</v>
      </c>
      <c r="B128" s="8" t="s">
        <v>405</v>
      </c>
      <c r="C128" s="1" t="s">
        <v>24</v>
      </c>
      <c r="D128" s="1" t="s">
        <v>11</v>
      </c>
      <c r="E128" s="9">
        <v>46141.0</v>
      </c>
      <c r="F128" s="2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7">
        <v>46141.430231481485</v>
      </c>
      <c r="B129" s="8" t="s">
        <v>406</v>
      </c>
      <c r="C129" s="1" t="s">
        <v>24</v>
      </c>
      <c r="D129" s="1" t="s">
        <v>11</v>
      </c>
      <c r="E129" s="9">
        <v>46141.0</v>
      </c>
      <c r="F129" s="2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7">
        <v>46141.42789351852</v>
      </c>
      <c r="B130" s="8" t="s">
        <v>412</v>
      </c>
      <c r="C130" s="1" t="s">
        <v>24</v>
      </c>
      <c r="D130" s="1" t="s">
        <v>11</v>
      </c>
      <c r="E130" s="9">
        <v>46141.0</v>
      </c>
      <c r="F130" s="2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7">
        <v>46141.42412037037</v>
      </c>
      <c r="B131" s="8" t="s">
        <v>413</v>
      </c>
      <c r="C131" s="1" t="s">
        <v>24</v>
      </c>
      <c r="D131" s="1" t="s">
        <v>11</v>
      </c>
      <c r="E131" s="9">
        <v>46141.0</v>
      </c>
      <c r="F131" s="2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7">
        <v>46141.38537037037</v>
      </c>
      <c r="B132" s="8" t="s">
        <v>414</v>
      </c>
      <c r="C132" s="1" t="s">
        <v>36</v>
      </c>
      <c r="D132" s="1" t="s">
        <v>11</v>
      </c>
      <c r="E132" s="9">
        <v>46141.0</v>
      </c>
      <c r="F132" s="2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7">
        <v>46139.597280092596</v>
      </c>
      <c r="B133" s="8" t="s">
        <v>419</v>
      </c>
      <c r="C133" s="1" t="s">
        <v>10</v>
      </c>
      <c r="D133" s="1" t="s">
        <v>11</v>
      </c>
      <c r="E133" s="9">
        <v>46139.0</v>
      </c>
      <c r="F133" s="2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7">
        <v>46139.5846875</v>
      </c>
      <c r="B134" s="8" t="s">
        <v>423</v>
      </c>
      <c r="C134" s="1" t="s">
        <v>24</v>
      </c>
      <c r="D134" s="1" t="s">
        <v>11</v>
      </c>
      <c r="E134" s="9">
        <v>46139.0</v>
      </c>
      <c r="F134" s="2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7">
        <v>46139.58023148148</v>
      </c>
      <c r="B135" s="8" t="s">
        <v>424</v>
      </c>
      <c r="C135" s="1" t="s">
        <v>24</v>
      </c>
      <c r="D135" s="1" t="s">
        <v>11</v>
      </c>
      <c r="E135" s="9">
        <v>46139.0</v>
      </c>
      <c r="F135" s="2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7">
        <v>46132.35789351852</v>
      </c>
      <c r="B136" s="8" t="s">
        <v>428</v>
      </c>
      <c r="C136" s="1" t="s">
        <v>24</v>
      </c>
      <c r="D136" s="1" t="s">
        <v>11</v>
      </c>
      <c r="E136" s="9">
        <v>46132.0</v>
      </c>
      <c r="F136" s="2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7">
        <v>46132.35555555556</v>
      </c>
      <c r="B137" s="8" t="s">
        <v>431</v>
      </c>
      <c r="C137" s="1" t="s">
        <v>15</v>
      </c>
      <c r="D137" s="1" t="s">
        <v>11</v>
      </c>
      <c r="E137" s="9">
        <v>46132.0</v>
      </c>
      <c r="F137" s="2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7">
        <v>46132.35349537037</v>
      </c>
      <c r="B138" s="8" t="s">
        <v>432</v>
      </c>
      <c r="C138" s="1" t="s">
        <v>10</v>
      </c>
      <c r="D138" s="1" t="s">
        <v>11</v>
      </c>
      <c r="E138" s="9">
        <v>46132.0</v>
      </c>
      <c r="F138" s="2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7">
        <v>46132.35173611111</v>
      </c>
      <c r="B139" s="8" t="s">
        <v>438</v>
      </c>
      <c r="C139" s="1" t="s">
        <v>10</v>
      </c>
      <c r="D139" s="1" t="s">
        <v>11</v>
      </c>
      <c r="E139" s="9">
        <v>46132.0</v>
      </c>
      <c r="F139" s="2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7">
        <v>46132.34815972222</v>
      </c>
      <c r="B140" s="8" t="s">
        <v>440</v>
      </c>
      <c r="C140" s="1" t="s">
        <v>24</v>
      </c>
      <c r="D140" s="1" t="s">
        <v>11</v>
      </c>
      <c r="E140" s="9">
        <v>46132.0</v>
      </c>
      <c r="F140" s="2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7">
        <v>46132.34542824074</v>
      </c>
      <c r="B141" s="8" t="s">
        <v>441</v>
      </c>
      <c r="C141" s="1" t="s">
        <v>24</v>
      </c>
      <c r="D141" s="1" t="s">
        <v>11</v>
      </c>
      <c r="E141" s="9">
        <v>46132.0</v>
      </c>
      <c r="F141" s="2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7">
        <v>46126.76920138889</v>
      </c>
      <c r="B142" s="8" t="s">
        <v>447</v>
      </c>
      <c r="C142" s="1" t="s">
        <v>15</v>
      </c>
      <c r="D142" s="1" t="s">
        <v>11</v>
      </c>
      <c r="E142" s="9">
        <v>46125.0</v>
      </c>
      <c r="F142" s="2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7">
        <v>46126.441342592596</v>
      </c>
      <c r="B143" s="8" t="s">
        <v>450</v>
      </c>
      <c r="C143" s="1" t="s">
        <v>24</v>
      </c>
      <c r="D143" s="1" t="s">
        <v>11</v>
      </c>
      <c r="E143" s="9">
        <v>46126.0</v>
      </c>
      <c r="F143" s="2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7">
        <v>46125.36143518519</v>
      </c>
      <c r="B144" s="8" t="s">
        <v>455</v>
      </c>
      <c r="C144" s="1" t="s">
        <v>24</v>
      </c>
      <c r="D144" s="1" t="s">
        <v>11</v>
      </c>
      <c r="E144" s="9">
        <v>46125.0</v>
      </c>
      <c r="F144" s="2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7">
        <v>46125.35909722222</v>
      </c>
      <c r="B145" s="8" t="s">
        <v>456</v>
      </c>
      <c r="C145" s="1" t="s">
        <v>24</v>
      </c>
      <c r="D145" s="1" t="s">
        <v>11</v>
      </c>
      <c r="E145" s="9">
        <v>46125.0</v>
      </c>
      <c r="F145" s="2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7">
        <v>46125.35674768518</v>
      </c>
      <c r="B146" s="8" t="s">
        <v>459</v>
      </c>
      <c r="C146" s="1" t="s">
        <v>24</v>
      </c>
      <c r="D146" s="1" t="s">
        <v>11</v>
      </c>
      <c r="E146" s="9">
        <v>46125.0</v>
      </c>
      <c r="F146" s="2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7">
        <v>46124.33923611111</v>
      </c>
      <c r="B147" s="8" t="s">
        <v>461</v>
      </c>
      <c r="C147" s="1" t="s">
        <v>36</v>
      </c>
      <c r="D147" s="1" t="s">
        <v>11</v>
      </c>
      <c r="E147" s="9">
        <v>46124.0</v>
      </c>
      <c r="F147" s="2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7">
        <v>46124.32635416667</v>
      </c>
      <c r="B148" s="8" t="s">
        <v>463</v>
      </c>
      <c r="C148" s="1" t="s">
        <v>10</v>
      </c>
      <c r="D148" s="1" t="s">
        <v>11</v>
      </c>
      <c r="E148" s="9">
        <v>46124.0</v>
      </c>
      <c r="F148" s="2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7">
        <v>46124.295219907406</v>
      </c>
      <c r="B149" s="8" t="s">
        <v>464</v>
      </c>
      <c r="C149" s="1" t="s">
        <v>36</v>
      </c>
      <c r="D149" s="1" t="s">
        <v>11</v>
      </c>
      <c r="E149" s="9">
        <v>46124.0</v>
      </c>
      <c r="F149" s="2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7">
        <v>46124.284953703704</v>
      </c>
      <c r="B150" s="8" t="s">
        <v>465</v>
      </c>
      <c r="C150" s="1" t="s">
        <v>36</v>
      </c>
      <c r="D150" s="1" t="s">
        <v>11</v>
      </c>
      <c r="E150" s="9">
        <v>46124.0</v>
      </c>
      <c r="F150" s="2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7">
        <v>46124.276608796295</v>
      </c>
      <c r="B151" s="8" t="s">
        <v>467</v>
      </c>
      <c r="C151" s="1" t="s">
        <v>36</v>
      </c>
      <c r="D151" s="1" t="s">
        <v>11</v>
      </c>
      <c r="E151" s="9">
        <v>46124.0</v>
      </c>
      <c r="F151" s="2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7">
        <v>46124.26615740741</v>
      </c>
      <c r="B152" s="8" t="s">
        <v>469</v>
      </c>
      <c r="C152" s="1" t="s">
        <v>36</v>
      </c>
      <c r="D152" s="1" t="s">
        <v>11</v>
      </c>
      <c r="E152" s="9">
        <v>46124.0</v>
      </c>
      <c r="F152" s="2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7">
        <v>46124.262083333335</v>
      </c>
      <c r="B153" s="8" t="s">
        <v>470</v>
      </c>
      <c r="C153" s="1" t="s">
        <v>10</v>
      </c>
      <c r="D153" s="1" t="s">
        <v>11</v>
      </c>
      <c r="E153" s="9">
        <v>46123.0</v>
      </c>
      <c r="F153" s="2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7">
        <v>46123.83508101852</v>
      </c>
      <c r="B154" s="8" t="s">
        <v>474</v>
      </c>
      <c r="C154" s="1" t="s">
        <v>10</v>
      </c>
      <c r="D154" s="1" t="s">
        <v>11</v>
      </c>
      <c r="E154" s="9">
        <v>46123.0</v>
      </c>
      <c r="F154" s="2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7">
        <v>46123.814884259256</v>
      </c>
      <c r="B155" s="8" t="s">
        <v>478</v>
      </c>
      <c r="C155" s="1" t="s">
        <v>24</v>
      </c>
      <c r="D155" s="1" t="s">
        <v>11</v>
      </c>
      <c r="E155" s="9">
        <v>46123.0</v>
      </c>
      <c r="F155" s="2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7">
        <v>46123.81246527778</v>
      </c>
      <c r="B156" s="8" t="s">
        <v>480</v>
      </c>
      <c r="C156" s="1" t="s">
        <v>24</v>
      </c>
      <c r="D156" s="1" t="s">
        <v>11</v>
      </c>
      <c r="E156" s="9">
        <v>46123.0</v>
      </c>
      <c r="F156" s="2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7">
        <v>46123.80173611111</v>
      </c>
      <c r="B157" s="8" t="s">
        <v>485</v>
      </c>
      <c r="C157" s="1" t="s">
        <v>24</v>
      </c>
      <c r="D157" s="1" t="s">
        <v>11</v>
      </c>
      <c r="E157" s="9">
        <v>46123.0</v>
      </c>
      <c r="F157" s="2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7">
        <v>46112.51908564815</v>
      </c>
      <c r="B158" s="8" t="s">
        <v>486</v>
      </c>
      <c r="C158" s="1" t="s">
        <v>24</v>
      </c>
      <c r="D158" s="1" t="s">
        <v>11</v>
      </c>
      <c r="E158" s="9">
        <v>46112.0</v>
      </c>
      <c r="F158" s="2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7">
        <v>46112.513645833336</v>
      </c>
      <c r="B159" s="8" t="s">
        <v>489</v>
      </c>
      <c r="C159" s="1" t="s">
        <v>19</v>
      </c>
      <c r="D159" s="1" t="s">
        <v>11</v>
      </c>
      <c r="E159" s="9">
        <v>46112.0</v>
      </c>
      <c r="F159" s="2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7">
        <v>46112.492118055554</v>
      </c>
      <c r="B160" s="8" t="s">
        <v>491</v>
      </c>
      <c r="C160" s="1" t="s">
        <v>10</v>
      </c>
      <c r="D160" s="1" t="s">
        <v>11</v>
      </c>
      <c r="E160" s="9">
        <v>46112.0</v>
      </c>
      <c r="F160" s="2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7">
        <v>46112.48056712963</v>
      </c>
      <c r="B161" s="8" t="s">
        <v>494</v>
      </c>
      <c r="C161" s="1" t="s">
        <v>10</v>
      </c>
      <c r="D161" s="1" t="s">
        <v>11</v>
      </c>
      <c r="E161" s="9">
        <v>46112.0</v>
      </c>
      <c r="F161" s="2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7">
        <v>46112.47231481481</v>
      </c>
      <c r="B162" s="8" t="s">
        <v>497</v>
      </c>
      <c r="C162" s="1" t="s">
        <v>19</v>
      </c>
      <c r="D162" s="1" t="s">
        <v>11</v>
      </c>
      <c r="E162" s="9">
        <v>46112.0</v>
      </c>
      <c r="F162" s="2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7">
        <v>46112.46107638889</v>
      </c>
      <c r="B163" s="8" t="s">
        <v>501</v>
      </c>
      <c r="C163" s="1" t="s">
        <v>24</v>
      </c>
      <c r="D163" s="1" t="s">
        <v>11</v>
      </c>
      <c r="E163" s="9">
        <v>46112.0</v>
      </c>
      <c r="F163" s="2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7">
        <v>46112.45873842593</v>
      </c>
      <c r="B164" s="8" t="s">
        <v>507</v>
      </c>
      <c r="C164" s="1" t="s">
        <v>10</v>
      </c>
      <c r="D164" s="1" t="s">
        <v>11</v>
      </c>
      <c r="E164" s="9">
        <v>46112.0</v>
      </c>
      <c r="F164" s="2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7">
        <v>46112.44734953704</v>
      </c>
      <c r="B165" s="8" t="s">
        <v>510</v>
      </c>
      <c r="C165" s="1" t="s">
        <v>24</v>
      </c>
      <c r="D165" s="1" t="s">
        <v>11</v>
      </c>
      <c r="E165" s="9">
        <v>46112.0</v>
      </c>
      <c r="F165" s="2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7">
        <v>46112.44521990741</v>
      </c>
      <c r="B166" s="8" t="s">
        <v>514</v>
      </c>
      <c r="C166" s="1" t="s">
        <v>24</v>
      </c>
      <c r="D166" s="1" t="s">
        <v>11</v>
      </c>
      <c r="E166" s="9">
        <v>46112.0</v>
      </c>
      <c r="F166" s="2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7">
        <v>46112.442511574074</v>
      </c>
      <c r="B167" s="8" t="s">
        <v>515</v>
      </c>
      <c r="C167" s="1" t="s">
        <v>10</v>
      </c>
      <c r="D167" s="1" t="s">
        <v>11</v>
      </c>
      <c r="E167" s="9">
        <v>46112.0</v>
      </c>
      <c r="F167" s="2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7">
        <v>46112.39271990741</v>
      </c>
      <c r="B168" s="8" t="s">
        <v>521</v>
      </c>
      <c r="C168" s="1" t="s">
        <v>24</v>
      </c>
      <c r="D168" s="1" t="s">
        <v>11</v>
      </c>
      <c r="E168" s="9">
        <v>46112.0</v>
      </c>
      <c r="F168" s="2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7">
        <v>46112.36403935185</v>
      </c>
      <c r="B169" s="8" t="s">
        <v>522</v>
      </c>
      <c r="C169" s="1" t="s">
        <v>24</v>
      </c>
      <c r="D169" s="1" t="s">
        <v>11</v>
      </c>
      <c r="E169" s="9">
        <v>46112.0</v>
      </c>
      <c r="F169" s="2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7">
        <v>46112.36152777778</v>
      </c>
      <c r="B170" s="8" t="s">
        <v>524</v>
      </c>
      <c r="C170" s="1" t="s">
        <v>15</v>
      </c>
      <c r="D170" s="1" t="s">
        <v>11</v>
      </c>
      <c r="E170" s="9">
        <v>46112.0</v>
      </c>
      <c r="F170" s="2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7">
        <v>46108.410625</v>
      </c>
      <c r="B171" s="8" t="s">
        <v>526</v>
      </c>
      <c r="C171" s="1" t="s">
        <v>24</v>
      </c>
      <c r="D171" s="1" t="s">
        <v>11</v>
      </c>
      <c r="E171" s="9">
        <v>46108.0</v>
      </c>
      <c r="F171" s="2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7">
        <v>46108.392222222225</v>
      </c>
      <c r="B172" s="8" t="s">
        <v>530</v>
      </c>
      <c r="C172" s="1" t="s">
        <v>24</v>
      </c>
      <c r="D172" s="1" t="s">
        <v>11</v>
      </c>
      <c r="E172" s="9">
        <v>46108.0</v>
      </c>
      <c r="F172" s="2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7">
        <v>46108.39221064815</v>
      </c>
      <c r="B173" s="8" t="s">
        <v>532</v>
      </c>
      <c r="C173" s="1" t="s">
        <v>24</v>
      </c>
      <c r="D173" s="1" t="s">
        <v>11</v>
      </c>
      <c r="E173" s="9">
        <v>46108.0</v>
      </c>
      <c r="F173" s="2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7">
        <v>46108.387037037035</v>
      </c>
      <c r="B174" s="8" t="s">
        <v>534</v>
      </c>
      <c r="C174" s="1" t="s">
        <v>24</v>
      </c>
      <c r="D174" s="1" t="s">
        <v>11</v>
      </c>
      <c r="E174" s="9">
        <v>46108.0</v>
      </c>
      <c r="F174" s="2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7">
        <v>46106.33436342593</v>
      </c>
      <c r="B175" s="8" t="s">
        <v>536</v>
      </c>
      <c r="C175" s="1" t="s">
        <v>24</v>
      </c>
      <c r="D175" s="1" t="s">
        <v>11</v>
      </c>
      <c r="E175" s="9">
        <v>46106.0</v>
      </c>
      <c r="F175" s="2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7">
        <v>46105.69315972222</v>
      </c>
      <c r="B176" s="8" t="s">
        <v>538</v>
      </c>
      <c r="C176" s="1" t="s">
        <v>24</v>
      </c>
      <c r="D176" s="1" t="s">
        <v>11</v>
      </c>
      <c r="E176" s="9">
        <v>46106.0</v>
      </c>
      <c r="F176" s="2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7">
        <v>46105.69149305556</v>
      </c>
      <c r="B177" s="8" t="s">
        <v>539</v>
      </c>
      <c r="C177" s="1" t="s">
        <v>24</v>
      </c>
      <c r="D177" s="1" t="s">
        <v>11</v>
      </c>
      <c r="E177" s="9">
        <v>46106.0</v>
      </c>
      <c r="F177" s="2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7">
        <v>46105.689305555556</v>
      </c>
      <c r="B178" s="8" t="s">
        <v>540</v>
      </c>
      <c r="C178" s="1" t="s">
        <v>24</v>
      </c>
      <c r="D178" s="1" t="s">
        <v>11</v>
      </c>
      <c r="E178" s="9">
        <v>46106.0</v>
      </c>
      <c r="F178" s="2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7">
        <v>46105.49611111111</v>
      </c>
      <c r="B179" s="8" t="s">
        <v>542</v>
      </c>
      <c r="C179" s="1" t="s">
        <v>24</v>
      </c>
      <c r="D179" s="1" t="s">
        <v>11</v>
      </c>
      <c r="E179" s="9">
        <v>46105.0</v>
      </c>
      <c r="F179" s="2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7">
        <v>46105.49155092592</v>
      </c>
      <c r="B180" s="8" t="s">
        <v>543</v>
      </c>
      <c r="C180" s="1" t="s">
        <v>24</v>
      </c>
      <c r="D180" s="1" t="s">
        <v>11</v>
      </c>
      <c r="E180" s="9">
        <v>46106.0</v>
      </c>
      <c r="F180" s="2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7">
        <v>46105.44204861111</v>
      </c>
      <c r="B181" s="8" t="s">
        <v>545</v>
      </c>
      <c r="C181" s="1" t="s">
        <v>15</v>
      </c>
      <c r="D181" s="1" t="s">
        <v>11</v>
      </c>
      <c r="E181" s="9">
        <v>46106.0</v>
      </c>
      <c r="F181" s="2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7">
        <v>46105.42454861111</v>
      </c>
      <c r="B182" s="8" t="s">
        <v>547</v>
      </c>
      <c r="C182" s="1" t="s">
        <v>24</v>
      </c>
      <c r="D182" s="1" t="s">
        <v>11</v>
      </c>
      <c r="E182" s="9">
        <v>46105.0</v>
      </c>
      <c r="F182" s="2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7">
        <v>46105.390497685185</v>
      </c>
      <c r="B183" s="8" t="s">
        <v>549</v>
      </c>
      <c r="C183" s="1" t="s">
        <v>15</v>
      </c>
      <c r="D183" s="1" t="s">
        <v>11</v>
      </c>
      <c r="E183" s="9">
        <v>46105.0</v>
      </c>
      <c r="F183" s="2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7">
        <v>46105.389085648145</v>
      </c>
      <c r="B184" s="8" t="s">
        <v>550</v>
      </c>
      <c r="C184" s="1" t="s">
        <v>15</v>
      </c>
      <c r="D184" s="1" t="s">
        <v>11</v>
      </c>
      <c r="E184" s="9">
        <v>46105.0</v>
      </c>
      <c r="F184" s="2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7">
        <v>46101.50225694444</v>
      </c>
      <c r="B185" s="8" t="s">
        <v>552</v>
      </c>
      <c r="C185" s="1" t="s">
        <v>24</v>
      </c>
      <c r="D185" s="1" t="s">
        <v>11</v>
      </c>
      <c r="E185" s="9">
        <v>46102.0</v>
      </c>
      <c r="F185" s="2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7">
        <v>46101.443923611114</v>
      </c>
      <c r="B186" s="8" t="s">
        <v>553</v>
      </c>
      <c r="C186" s="1" t="s">
        <v>24</v>
      </c>
      <c r="D186" s="1" t="s">
        <v>11</v>
      </c>
      <c r="E186" s="9">
        <v>46102.0</v>
      </c>
      <c r="F186" s="2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7">
        <v>46099.36109953704</v>
      </c>
      <c r="B187" s="8" t="s">
        <v>555</v>
      </c>
      <c r="C187" s="1" t="s">
        <v>24</v>
      </c>
      <c r="D187" s="1" t="s">
        <v>11</v>
      </c>
      <c r="E187" s="9">
        <v>46098.0</v>
      </c>
      <c r="F187" s="2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7">
        <v>46099.33849537037</v>
      </c>
      <c r="B188" s="8" t="s">
        <v>556</v>
      </c>
      <c r="C188" s="1" t="s">
        <v>24</v>
      </c>
      <c r="D188" s="1" t="s">
        <v>11</v>
      </c>
      <c r="E188" s="9">
        <v>46098.0</v>
      </c>
      <c r="F188" s="2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7">
        <v>46099.33528935185</v>
      </c>
      <c r="B189" s="8" t="s">
        <v>559</v>
      </c>
      <c r="C189" s="1" t="s">
        <v>245</v>
      </c>
      <c r="D189" s="1" t="s">
        <v>11</v>
      </c>
      <c r="E189" s="9">
        <v>46098.0</v>
      </c>
      <c r="F189" s="2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7">
        <v>46097.43981481482</v>
      </c>
      <c r="B190" s="8" t="s">
        <v>560</v>
      </c>
      <c r="C190" s="1" t="s">
        <v>15</v>
      </c>
      <c r="D190" s="1" t="s">
        <v>11</v>
      </c>
      <c r="E190" s="9">
        <v>46095.0</v>
      </c>
      <c r="F190" s="2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7">
        <v>46097.43780092592</v>
      </c>
      <c r="B191" s="8" t="s">
        <v>562</v>
      </c>
      <c r="C191" s="1" t="s">
        <v>10</v>
      </c>
      <c r="D191" s="1" t="s">
        <v>11</v>
      </c>
      <c r="E191" s="9">
        <v>46095.0</v>
      </c>
      <c r="F191" s="2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7">
        <v>46097.384467592594</v>
      </c>
      <c r="B192" s="8" t="s">
        <v>563</v>
      </c>
      <c r="C192" s="1" t="s">
        <v>99</v>
      </c>
      <c r="D192" s="1" t="s">
        <v>11</v>
      </c>
      <c r="E192" s="9">
        <v>46095.0</v>
      </c>
      <c r="F192" s="2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7">
        <v>46095.46839120371</v>
      </c>
      <c r="B193" s="8" t="s">
        <v>565</v>
      </c>
      <c r="C193" s="1" t="s">
        <v>24</v>
      </c>
      <c r="D193" s="1" t="s">
        <v>11</v>
      </c>
      <c r="E193" s="9">
        <v>46095.0</v>
      </c>
      <c r="F193" s="2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7">
        <v>46095.46115740741</v>
      </c>
      <c r="B194" s="8" t="s">
        <v>567</v>
      </c>
      <c r="C194" s="1" t="s">
        <v>24</v>
      </c>
      <c r="D194" s="1" t="s">
        <v>11</v>
      </c>
      <c r="E194" s="9">
        <v>46095.0</v>
      </c>
      <c r="F194" s="2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7">
        <v>46095.45884259259</v>
      </c>
      <c r="B195" s="8" t="s">
        <v>568</v>
      </c>
      <c r="C195" s="1" t="s">
        <v>24</v>
      </c>
      <c r="D195" s="1" t="s">
        <v>11</v>
      </c>
      <c r="E195" s="9">
        <v>46095.0</v>
      </c>
      <c r="F195" s="2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7">
        <v>46095.45699074074</v>
      </c>
      <c r="B196" s="8" t="s">
        <v>570</v>
      </c>
      <c r="C196" s="1" t="s">
        <v>99</v>
      </c>
      <c r="D196" s="1" t="s">
        <v>11</v>
      </c>
      <c r="E196" s="9">
        <v>46095.0</v>
      </c>
      <c r="F196" s="2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7">
        <v>46095.45582175926</v>
      </c>
      <c r="B197" s="8" t="s">
        <v>571</v>
      </c>
      <c r="C197" s="1" t="s">
        <v>10</v>
      </c>
      <c r="D197" s="1" t="s">
        <v>11</v>
      </c>
      <c r="E197" s="9">
        <v>46095.0</v>
      </c>
      <c r="F197" s="2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7">
        <v>46095.37625</v>
      </c>
      <c r="B198" s="8" t="s">
        <v>574</v>
      </c>
      <c r="C198" s="1" t="s">
        <v>99</v>
      </c>
      <c r="D198" s="1" t="s">
        <v>11</v>
      </c>
      <c r="E198" s="9">
        <v>46095.0</v>
      </c>
      <c r="F198" s="2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7">
        <v>46095.37399305555</v>
      </c>
      <c r="B199" s="8" t="s">
        <v>576</v>
      </c>
      <c r="C199" s="1" t="s">
        <v>577</v>
      </c>
      <c r="D199" s="1" t="s">
        <v>11</v>
      </c>
      <c r="E199" s="9">
        <v>46095.0</v>
      </c>
      <c r="F199" s="2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7">
        <v>46095.353368055556</v>
      </c>
      <c r="B200" s="8" t="s">
        <v>578</v>
      </c>
      <c r="C200" s="1" t="s">
        <v>24</v>
      </c>
      <c r="D200" s="1" t="s">
        <v>11</v>
      </c>
      <c r="E200" s="9">
        <v>46095.0</v>
      </c>
      <c r="F200" s="2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7">
        <v>46095.33835648148</v>
      </c>
      <c r="B201" s="8" t="s">
        <v>581</v>
      </c>
      <c r="C201" s="1" t="s">
        <v>24</v>
      </c>
      <c r="D201" s="1" t="s">
        <v>11</v>
      </c>
      <c r="E201" s="9">
        <v>46095.0</v>
      </c>
      <c r="F201" s="2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7">
        <v>46094.36206018519</v>
      </c>
      <c r="B202" s="8" t="s">
        <v>584</v>
      </c>
      <c r="C202" s="1" t="s">
        <v>73</v>
      </c>
      <c r="D202" s="1" t="s">
        <v>11</v>
      </c>
      <c r="E202" s="9">
        <v>46094.0</v>
      </c>
      <c r="F202" s="2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7">
        <v>46093.44510416667</v>
      </c>
      <c r="B203" s="8" t="s">
        <v>587</v>
      </c>
      <c r="C203" s="1" t="s">
        <v>10</v>
      </c>
      <c r="D203" s="1" t="s">
        <v>11</v>
      </c>
      <c r="E203" s="9">
        <v>46093.0</v>
      </c>
      <c r="F203" s="2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7">
        <v>46086.62980324074</v>
      </c>
      <c r="B204" s="8" t="s">
        <v>588</v>
      </c>
      <c r="C204" s="1" t="s">
        <v>10</v>
      </c>
      <c r="D204" s="1" t="s">
        <v>11</v>
      </c>
      <c r="E204" s="9">
        <v>46086.0</v>
      </c>
      <c r="F204" s="2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7">
        <v>46086.42711805556</v>
      </c>
      <c r="B205" s="8" t="s">
        <v>590</v>
      </c>
      <c r="C205" s="1" t="s">
        <v>10</v>
      </c>
      <c r="D205" s="1" t="s">
        <v>11</v>
      </c>
      <c r="E205" s="9">
        <v>46086.0</v>
      </c>
      <c r="F205" s="2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7">
        <v>46085.48753472222</v>
      </c>
      <c r="B206" s="8" t="s">
        <v>593</v>
      </c>
      <c r="C206" s="1" t="s">
        <v>10</v>
      </c>
      <c r="D206" s="1" t="s">
        <v>11</v>
      </c>
      <c r="E206" s="9">
        <v>46086.0</v>
      </c>
      <c r="F206" s="2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7">
        <v>46085.471134259256</v>
      </c>
      <c r="B207" s="8" t="s">
        <v>594</v>
      </c>
      <c r="C207" s="1" t="s">
        <v>24</v>
      </c>
      <c r="D207" s="1" t="s">
        <v>11</v>
      </c>
      <c r="E207" s="9">
        <v>46086.0</v>
      </c>
      <c r="F207" s="2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7">
        <v>46085.46675925926</v>
      </c>
      <c r="B208" s="8" t="s">
        <v>597</v>
      </c>
      <c r="C208" s="1" t="s">
        <v>10</v>
      </c>
      <c r="D208" s="1" t="s">
        <v>11</v>
      </c>
      <c r="E208" s="9">
        <v>46086.0</v>
      </c>
      <c r="F208" s="2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7">
        <v>46085.45556712963</v>
      </c>
      <c r="B209" s="8" t="s">
        <v>598</v>
      </c>
      <c r="C209" s="1" t="s">
        <v>24</v>
      </c>
      <c r="D209" s="1" t="s">
        <v>11</v>
      </c>
      <c r="E209" s="9">
        <v>46086.0</v>
      </c>
      <c r="F209" s="2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7">
        <v>46085.45165509259</v>
      </c>
      <c r="B210" s="8" t="s">
        <v>600</v>
      </c>
      <c r="C210" s="1" t="s">
        <v>15</v>
      </c>
      <c r="D210" s="1" t="s">
        <v>11</v>
      </c>
      <c r="E210" s="9">
        <v>46086.0</v>
      </c>
      <c r="F210" s="2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7">
        <v>46085.45013888889</v>
      </c>
      <c r="B211" s="8" t="s">
        <v>601</v>
      </c>
      <c r="C211" s="1" t="s">
        <v>15</v>
      </c>
      <c r="D211" s="1" t="s">
        <v>11</v>
      </c>
      <c r="E211" s="9">
        <v>46086.0</v>
      </c>
      <c r="F211" s="2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7">
        <v>46085.44342592593</v>
      </c>
      <c r="B212" s="8" t="s">
        <v>604</v>
      </c>
      <c r="C212" s="1" t="s">
        <v>10</v>
      </c>
      <c r="D212" s="1" t="s">
        <v>11</v>
      </c>
      <c r="E212" s="9">
        <v>46086.0</v>
      </c>
      <c r="F212" s="2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7">
        <v>46085.429710648146</v>
      </c>
      <c r="B213" s="8" t="s">
        <v>605</v>
      </c>
      <c r="C213" s="1" t="s">
        <v>10</v>
      </c>
      <c r="D213" s="1" t="s">
        <v>11</v>
      </c>
      <c r="E213" s="9">
        <v>46086.0</v>
      </c>
      <c r="F213" s="2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7">
        <v>46085.42549768519</v>
      </c>
      <c r="B214" s="8" t="s">
        <v>608</v>
      </c>
      <c r="C214" s="1" t="s">
        <v>73</v>
      </c>
      <c r="D214" s="1" t="s">
        <v>11</v>
      </c>
      <c r="E214" s="9">
        <v>46086.0</v>
      </c>
      <c r="F214" s="2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7">
        <v>46085.39733796296</v>
      </c>
      <c r="B215" s="8" t="s">
        <v>609</v>
      </c>
      <c r="C215" s="1" t="s">
        <v>10</v>
      </c>
      <c r="D215" s="1" t="s">
        <v>11</v>
      </c>
      <c r="E215" s="9">
        <v>46085.0</v>
      </c>
      <c r="F215" s="2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7">
        <v>46084.49940972222</v>
      </c>
      <c r="B216" s="8" t="s">
        <v>612</v>
      </c>
      <c r="C216" s="1" t="s">
        <v>10</v>
      </c>
      <c r="D216" s="1" t="s">
        <v>11</v>
      </c>
      <c r="E216" s="9">
        <v>46084.0</v>
      </c>
      <c r="F216" s="2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7">
        <v>46084.39818287037</v>
      </c>
      <c r="B217" s="8" t="s">
        <v>614</v>
      </c>
      <c r="C217" s="1" t="s">
        <v>73</v>
      </c>
      <c r="D217" s="1" t="s">
        <v>11</v>
      </c>
      <c r="E217" s="9">
        <v>46084.0</v>
      </c>
      <c r="F217" s="2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7">
        <v>46084.29809027778</v>
      </c>
      <c r="B218" s="8" t="s">
        <v>615</v>
      </c>
      <c r="C218" s="1" t="s">
        <v>24</v>
      </c>
      <c r="D218" s="1" t="s">
        <v>11</v>
      </c>
      <c r="E218" s="9">
        <v>46084.0</v>
      </c>
      <c r="F218" s="2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7">
        <v>46081.425104166665</v>
      </c>
      <c r="B219" s="8" t="s">
        <v>618</v>
      </c>
      <c r="C219" s="1" t="s">
        <v>24</v>
      </c>
      <c r="D219" s="1" t="s">
        <v>11</v>
      </c>
      <c r="E219" s="9">
        <v>46081.0</v>
      </c>
      <c r="F219" s="2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7">
        <v>46081.423310185186</v>
      </c>
      <c r="B220" s="8" t="s">
        <v>620</v>
      </c>
      <c r="C220" s="1" t="s">
        <v>24</v>
      </c>
      <c r="D220" s="1" t="s">
        <v>11</v>
      </c>
      <c r="E220" s="9">
        <v>46081.0</v>
      </c>
      <c r="F220" s="2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7">
        <v>46081.42173611111</v>
      </c>
      <c r="B221" s="8" t="s">
        <v>622</v>
      </c>
      <c r="C221" s="1" t="s">
        <v>24</v>
      </c>
      <c r="D221" s="1" t="s">
        <v>11</v>
      </c>
      <c r="E221" s="9">
        <v>46081.0</v>
      </c>
      <c r="F221" s="2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7">
        <v>46081.41967592593</v>
      </c>
      <c r="B222" s="8" t="s">
        <v>623</v>
      </c>
      <c r="C222" s="1" t="s">
        <v>24</v>
      </c>
      <c r="D222" s="1" t="s">
        <v>11</v>
      </c>
      <c r="E222" s="9">
        <v>46081.0</v>
      </c>
      <c r="F222" s="2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7">
        <v>46081.41678240741</v>
      </c>
      <c r="B223" s="8" t="s">
        <v>625</v>
      </c>
      <c r="C223" s="1" t="s">
        <v>24</v>
      </c>
      <c r="D223" s="1" t="s">
        <v>11</v>
      </c>
      <c r="E223" s="9">
        <v>46081.0</v>
      </c>
      <c r="F223" s="2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7">
        <v>46081.306597222225</v>
      </c>
      <c r="B224" s="8" t="s">
        <v>626</v>
      </c>
      <c r="C224" s="1" t="s">
        <v>10</v>
      </c>
      <c r="D224" s="1" t="s">
        <v>11</v>
      </c>
      <c r="E224" s="9">
        <v>46081.0</v>
      </c>
      <c r="F224" s="2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7">
        <v>46080.324849537035</v>
      </c>
      <c r="B225" s="8" t="s">
        <v>628</v>
      </c>
      <c r="C225" s="1" t="s">
        <v>10</v>
      </c>
      <c r="D225" s="1" t="s">
        <v>11</v>
      </c>
      <c r="E225" s="9">
        <v>46080.0</v>
      </c>
      <c r="F225" s="2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7">
        <v>46080.321747685186</v>
      </c>
      <c r="B226" s="8" t="s">
        <v>629</v>
      </c>
      <c r="C226" s="1" t="s">
        <v>24</v>
      </c>
      <c r="D226" s="1" t="s">
        <v>11</v>
      </c>
      <c r="E226" s="9">
        <v>46080.0</v>
      </c>
      <c r="F226" s="2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7">
        <v>46080.3109375</v>
      </c>
      <c r="B227" s="8" t="s">
        <v>631</v>
      </c>
      <c r="C227" s="1" t="s">
        <v>24</v>
      </c>
      <c r="D227" s="1" t="s">
        <v>11</v>
      </c>
      <c r="E227" s="9">
        <v>46080.0</v>
      </c>
      <c r="F227" s="2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7">
        <v>46080.299363425926</v>
      </c>
      <c r="B228" s="8" t="s">
        <v>632</v>
      </c>
      <c r="C228" s="1" t="s">
        <v>24</v>
      </c>
      <c r="D228" s="1" t="s">
        <v>11</v>
      </c>
      <c r="E228" s="9">
        <v>46080.0</v>
      </c>
      <c r="F228" s="2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7">
        <v>46079.33820601852</v>
      </c>
      <c r="B229" s="8" t="s">
        <v>635</v>
      </c>
      <c r="C229" s="1" t="s">
        <v>24</v>
      </c>
      <c r="D229" s="1" t="s">
        <v>11</v>
      </c>
      <c r="E229" s="9">
        <v>46079.0</v>
      </c>
      <c r="F229" s="2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7">
        <v>46079.33421296296</v>
      </c>
      <c r="B230" s="8" t="s">
        <v>636</v>
      </c>
      <c r="C230" s="1" t="s">
        <v>10</v>
      </c>
      <c r="D230" s="1" t="s">
        <v>11</v>
      </c>
      <c r="E230" s="9">
        <v>46079.0</v>
      </c>
      <c r="F230" s="2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7">
        <v>46079.33037037037</v>
      </c>
      <c r="B231" s="8" t="s">
        <v>638</v>
      </c>
      <c r="C231" s="1" t="s">
        <v>24</v>
      </c>
      <c r="D231" s="1" t="s">
        <v>11</v>
      </c>
      <c r="E231" s="9">
        <v>46079.0</v>
      </c>
      <c r="F231" s="2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7">
        <v>46078.45385416667</v>
      </c>
      <c r="B232" s="8" t="s">
        <v>639</v>
      </c>
      <c r="C232" s="1" t="s">
        <v>24</v>
      </c>
      <c r="D232" s="1" t="s">
        <v>11</v>
      </c>
      <c r="E232" s="9">
        <v>46079.0</v>
      </c>
      <c r="F232" s="2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7">
        <v>46078.45002314815</v>
      </c>
      <c r="B233" s="8" t="s">
        <v>641</v>
      </c>
      <c r="C233" s="1" t="s">
        <v>10</v>
      </c>
      <c r="D233" s="1" t="s">
        <v>11</v>
      </c>
      <c r="E233" s="9">
        <v>46079.0</v>
      </c>
      <c r="F233" s="2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7">
        <v>46078.42680555556</v>
      </c>
      <c r="B234" s="8" t="s">
        <v>643</v>
      </c>
      <c r="C234" s="1" t="s">
        <v>24</v>
      </c>
      <c r="D234" s="1" t="s">
        <v>11</v>
      </c>
      <c r="E234" s="9">
        <v>46079.0</v>
      </c>
      <c r="F234" s="2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7">
        <v>46078.4225</v>
      </c>
      <c r="B235" s="8" t="s">
        <v>644</v>
      </c>
      <c r="C235" s="1" t="s">
        <v>10</v>
      </c>
      <c r="D235" s="1" t="s">
        <v>11</v>
      </c>
      <c r="E235" s="9">
        <v>46079.0</v>
      </c>
      <c r="F235" s="2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7">
        <v>46077.39744212963</v>
      </c>
      <c r="B236" s="8" t="s">
        <v>646</v>
      </c>
      <c r="C236" s="1" t="s">
        <v>10</v>
      </c>
      <c r="D236" s="1" t="s">
        <v>11</v>
      </c>
      <c r="E236" s="9">
        <v>46077.0</v>
      </c>
      <c r="F236" s="2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7">
        <v>46077.39009259259</v>
      </c>
      <c r="B237" s="8" t="s">
        <v>649</v>
      </c>
      <c r="C237" s="1" t="s">
        <v>24</v>
      </c>
      <c r="D237" s="1" t="s">
        <v>11</v>
      </c>
      <c r="E237" s="9">
        <v>46077.0</v>
      </c>
      <c r="F237" s="2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7">
        <v>46077.389016203706</v>
      </c>
      <c r="B238" s="8" t="s">
        <v>650</v>
      </c>
      <c r="C238" s="1" t="s">
        <v>24</v>
      </c>
      <c r="D238" s="1" t="s">
        <v>11</v>
      </c>
      <c r="E238" s="9">
        <v>46077.0</v>
      </c>
      <c r="F238" s="2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7">
        <v>46077.38260416667</v>
      </c>
      <c r="B239" s="8" t="s">
        <v>651</v>
      </c>
      <c r="C239" s="1" t="s">
        <v>15</v>
      </c>
      <c r="D239" s="1" t="s">
        <v>11</v>
      </c>
      <c r="E239" s="9">
        <v>46077.0</v>
      </c>
      <c r="F239" s="2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7">
        <v>46077.379537037035</v>
      </c>
      <c r="B240" s="8" t="s">
        <v>654</v>
      </c>
      <c r="C240" s="1" t="s">
        <v>24</v>
      </c>
      <c r="D240" s="1" t="s">
        <v>11</v>
      </c>
      <c r="E240" s="9">
        <v>46077.0</v>
      </c>
      <c r="F240" s="2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7">
        <v>46077.37667824074</v>
      </c>
      <c r="B241" s="8" t="s">
        <v>656</v>
      </c>
      <c r="C241" s="1" t="s">
        <v>24</v>
      </c>
      <c r="D241" s="1" t="s">
        <v>11</v>
      </c>
      <c r="E241" s="9">
        <v>46077.0</v>
      </c>
      <c r="F241" s="2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7">
        <v>46077.37548611111</v>
      </c>
      <c r="B242" s="8" t="s">
        <v>657</v>
      </c>
      <c r="C242" s="1" t="s">
        <v>24</v>
      </c>
      <c r="D242" s="1" t="s">
        <v>11</v>
      </c>
      <c r="E242" s="9">
        <v>46077.0</v>
      </c>
      <c r="F242" s="2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7">
        <v>46073.3025</v>
      </c>
      <c r="B243" s="8" t="s">
        <v>658</v>
      </c>
      <c r="C243" s="1" t="s">
        <v>15</v>
      </c>
      <c r="D243" s="1" t="s">
        <v>11</v>
      </c>
      <c r="E243" s="9">
        <v>46073.0</v>
      </c>
      <c r="F243" s="2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7">
        <v>46073.30123842593</v>
      </c>
      <c r="B244" s="8" t="s">
        <v>660</v>
      </c>
      <c r="C244" s="1" t="s">
        <v>15</v>
      </c>
      <c r="D244" s="1" t="s">
        <v>11</v>
      </c>
      <c r="E244" s="9">
        <v>46073.0</v>
      </c>
      <c r="F244" s="2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7">
        <v>46071.27862268518</v>
      </c>
      <c r="B245" s="8" t="s">
        <v>662</v>
      </c>
      <c r="C245" s="1" t="s">
        <v>24</v>
      </c>
      <c r="D245" s="1" t="s">
        <v>11</v>
      </c>
      <c r="E245" s="9">
        <v>46071.0</v>
      </c>
      <c r="F245" s="2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7">
        <v>46070.67040509259</v>
      </c>
      <c r="B246" s="8" t="s">
        <v>663</v>
      </c>
      <c r="C246" s="1" t="s">
        <v>10</v>
      </c>
      <c r="D246" s="1" t="s">
        <v>11</v>
      </c>
      <c r="E246" s="9">
        <v>46070.0</v>
      </c>
      <c r="F246" s="2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7">
        <v>46068.72694444445</v>
      </c>
      <c r="B247" s="8" t="s">
        <v>665</v>
      </c>
      <c r="C247" s="1" t="s">
        <v>24</v>
      </c>
      <c r="D247" s="1" t="s">
        <v>11</v>
      </c>
      <c r="E247" s="9">
        <v>46068.0</v>
      </c>
      <c r="F247" s="2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7">
        <v>46068.71895833333</v>
      </c>
      <c r="B248" s="8" t="s">
        <v>667</v>
      </c>
      <c r="C248" s="1" t="s">
        <v>24</v>
      </c>
      <c r="D248" s="1" t="s">
        <v>11</v>
      </c>
      <c r="E248" s="9">
        <v>46068.0</v>
      </c>
      <c r="F248" s="2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7">
        <v>46068.71350694444</v>
      </c>
      <c r="B249" s="8" t="s">
        <v>669</v>
      </c>
      <c r="C249" s="1" t="s">
        <v>36</v>
      </c>
      <c r="D249" s="1" t="s">
        <v>11</v>
      </c>
      <c r="E249" s="9">
        <v>46068.0</v>
      </c>
      <c r="F249" s="2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7">
        <v>46064.39417824074</v>
      </c>
      <c r="B250" s="8" t="s">
        <v>671</v>
      </c>
      <c r="C250" s="1" t="s">
        <v>15</v>
      </c>
      <c r="D250" s="1" t="s">
        <v>11</v>
      </c>
      <c r="E250" s="9">
        <v>46064.0</v>
      </c>
      <c r="F250" s="2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7">
        <v>46064.392916666664</v>
      </c>
      <c r="B251" s="8" t="s">
        <v>673</v>
      </c>
      <c r="C251" s="1" t="s">
        <v>15</v>
      </c>
      <c r="D251" s="1" t="s">
        <v>11</v>
      </c>
      <c r="E251" s="9">
        <v>46064.0</v>
      </c>
      <c r="F251" s="2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7">
        <v>46063.59302083333</v>
      </c>
      <c r="B252" s="8" t="s">
        <v>674</v>
      </c>
      <c r="C252" s="1" t="s">
        <v>24</v>
      </c>
      <c r="D252" s="1" t="s">
        <v>11</v>
      </c>
      <c r="E252" s="9">
        <v>46063.0</v>
      </c>
      <c r="F252" s="2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7">
        <v>46063.59289351852</v>
      </c>
      <c r="B253" s="8" t="s">
        <v>677</v>
      </c>
      <c r="C253" s="1" t="s">
        <v>24</v>
      </c>
      <c r="D253" s="1" t="s">
        <v>11</v>
      </c>
      <c r="E253" s="9">
        <v>46063.0</v>
      </c>
      <c r="F253" s="2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7">
        <v>46063.54678240741</v>
      </c>
      <c r="B254" s="8" t="s">
        <v>678</v>
      </c>
      <c r="C254" s="1" t="s">
        <v>24</v>
      </c>
      <c r="D254" s="1" t="s">
        <v>11</v>
      </c>
      <c r="E254" s="9">
        <v>46063.0</v>
      </c>
      <c r="F254" s="2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7">
        <v>46063.54577546296</v>
      </c>
      <c r="B255" s="8" t="s">
        <v>681</v>
      </c>
      <c r="C255" s="1" t="s">
        <v>24</v>
      </c>
      <c r="D255" s="1" t="s">
        <v>11</v>
      </c>
      <c r="E255" s="9">
        <v>46063.0</v>
      </c>
      <c r="F255" s="2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7">
        <v>46063.54508101852</v>
      </c>
      <c r="B256" s="8" t="s">
        <v>682</v>
      </c>
      <c r="C256" s="1" t="s">
        <v>24</v>
      </c>
      <c r="D256" s="1" t="s">
        <v>11</v>
      </c>
      <c r="E256" s="9">
        <v>46063.0</v>
      </c>
      <c r="F256" s="2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7">
        <v>46063.54417824074</v>
      </c>
      <c r="B257" s="8" t="s">
        <v>685</v>
      </c>
      <c r="C257" s="1" t="s">
        <v>24</v>
      </c>
      <c r="D257" s="1" t="s">
        <v>11</v>
      </c>
      <c r="E257" s="9">
        <v>46063.0</v>
      </c>
      <c r="F257" s="2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7">
        <v>46063.54351851852</v>
      </c>
      <c r="B258" s="8" t="s">
        <v>686</v>
      </c>
      <c r="C258" s="1" t="s">
        <v>24</v>
      </c>
      <c r="D258" s="1" t="s">
        <v>11</v>
      </c>
      <c r="E258" s="9">
        <v>46063.0</v>
      </c>
      <c r="F258" s="2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7">
        <v>46063.542708333334</v>
      </c>
      <c r="B259" s="8" t="s">
        <v>689</v>
      </c>
      <c r="C259" s="1" t="s">
        <v>24</v>
      </c>
      <c r="D259" s="1" t="s">
        <v>11</v>
      </c>
      <c r="E259" s="9">
        <v>46063.0</v>
      </c>
      <c r="F259" s="2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7">
        <v>46063.5403125</v>
      </c>
      <c r="B260" s="8" t="s">
        <v>690</v>
      </c>
      <c r="C260" s="1" t="s">
        <v>24</v>
      </c>
      <c r="D260" s="1" t="s">
        <v>11</v>
      </c>
      <c r="E260" s="9">
        <v>46063.0</v>
      </c>
      <c r="F260" s="2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7">
        <v>46063.26461805555</v>
      </c>
      <c r="B261" s="8" t="s">
        <v>692</v>
      </c>
      <c r="C261" s="1" t="s">
        <v>15</v>
      </c>
      <c r="D261" s="1" t="s">
        <v>11</v>
      </c>
      <c r="E261" s="9">
        <v>46063.0</v>
      </c>
      <c r="F261" s="2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7">
        <v>46063.25703703704</v>
      </c>
      <c r="B262" s="8" t="s">
        <v>693</v>
      </c>
      <c r="C262" s="1" t="s">
        <v>24</v>
      </c>
      <c r="D262" s="1" t="s">
        <v>11</v>
      </c>
      <c r="E262" s="9">
        <v>46063.0</v>
      </c>
      <c r="F262" s="2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7">
        <v>46063.25342592593</v>
      </c>
      <c r="B263" s="8" t="s">
        <v>696</v>
      </c>
      <c r="C263" s="1" t="s">
        <v>36</v>
      </c>
      <c r="D263" s="1" t="s">
        <v>11</v>
      </c>
      <c r="E263" s="9">
        <v>46063.0</v>
      </c>
      <c r="F263" s="2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7">
        <v>46060.300474537034</v>
      </c>
      <c r="B264" s="8" t="s">
        <v>699</v>
      </c>
      <c r="C264" s="1" t="s">
        <v>36</v>
      </c>
      <c r="D264" s="1" t="s">
        <v>11</v>
      </c>
      <c r="E264" s="9">
        <v>46060.0</v>
      </c>
      <c r="F264" s="2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7">
        <v>46060.29041666666</v>
      </c>
      <c r="B265" s="8" t="s">
        <v>702</v>
      </c>
      <c r="C265" s="1" t="s">
        <v>19</v>
      </c>
      <c r="D265" s="1" t="s">
        <v>11</v>
      </c>
      <c r="E265" s="9">
        <v>46060.0</v>
      </c>
      <c r="F265" s="2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7">
        <v>46060.28454861111</v>
      </c>
      <c r="B266" s="8" t="s">
        <v>704</v>
      </c>
      <c r="C266" s="1" t="s">
        <v>10</v>
      </c>
      <c r="D266" s="1" t="s">
        <v>11</v>
      </c>
      <c r="E266" s="9">
        <v>46060.0</v>
      </c>
      <c r="F266" s="2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7">
        <v>46060.272152777776</v>
      </c>
      <c r="B267" s="8" t="s">
        <v>705</v>
      </c>
      <c r="C267" s="1" t="s">
        <v>24</v>
      </c>
      <c r="D267" s="1" t="s">
        <v>11</v>
      </c>
      <c r="E267" s="9">
        <v>46060.0</v>
      </c>
      <c r="F267" s="2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7">
        <v>46057.454733796294</v>
      </c>
      <c r="B268" s="8" t="s">
        <v>707</v>
      </c>
      <c r="C268" s="1" t="s">
        <v>10</v>
      </c>
      <c r="D268" s="1" t="s">
        <v>11</v>
      </c>
      <c r="E268" s="9">
        <v>46057.0</v>
      </c>
      <c r="F268" s="2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7">
        <v>46057.425787037035</v>
      </c>
      <c r="B269" s="8" t="s">
        <v>709</v>
      </c>
      <c r="C269" s="1" t="s">
        <v>24</v>
      </c>
      <c r="D269" s="1" t="s">
        <v>11</v>
      </c>
      <c r="E269" s="9">
        <v>46057.0</v>
      </c>
      <c r="F269" s="2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7">
        <v>46057.41921296297</v>
      </c>
      <c r="B270" s="8" t="s">
        <v>713</v>
      </c>
      <c r="C270" s="1" t="s">
        <v>10</v>
      </c>
      <c r="D270" s="1" t="s">
        <v>11</v>
      </c>
      <c r="E270" s="9">
        <v>46057.0</v>
      </c>
      <c r="F270" s="2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7">
        <v>46057.41005787037</v>
      </c>
      <c r="B271" s="8" t="s">
        <v>714</v>
      </c>
      <c r="C271" s="1" t="s">
        <v>24</v>
      </c>
      <c r="D271" s="1" t="s">
        <v>11</v>
      </c>
      <c r="E271" s="9">
        <v>46057.0</v>
      </c>
      <c r="F271" s="2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7">
        <v>46057.374189814815</v>
      </c>
      <c r="B272" s="8" t="s">
        <v>717</v>
      </c>
      <c r="C272" s="1" t="s">
        <v>24</v>
      </c>
      <c r="D272" s="1" t="s">
        <v>11</v>
      </c>
      <c r="E272" s="9">
        <v>46057.0</v>
      </c>
      <c r="F272" s="2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7">
        <v>46057.36413194444</v>
      </c>
      <c r="B273" s="8" t="s">
        <v>718</v>
      </c>
      <c r="C273" s="1" t="s">
        <v>24</v>
      </c>
      <c r="D273" s="1" t="s">
        <v>11</v>
      </c>
      <c r="E273" s="9">
        <v>46057.0</v>
      </c>
      <c r="F273" s="2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7">
        <v>46055.350486111114</v>
      </c>
      <c r="B274" s="8" t="s">
        <v>722</v>
      </c>
      <c r="C274" s="1" t="s">
        <v>24</v>
      </c>
      <c r="D274" s="1" t="s">
        <v>11</v>
      </c>
      <c r="E274" s="9">
        <v>46055.0</v>
      </c>
      <c r="F274" s="2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7">
        <v>46055.34491898148</v>
      </c>
      <c r="B275" s="8" t="s">
        <v>724</v>
      </c>
      <c r="C275" s="1" t="s">
        <v>24</v>
      </c>
      <c r="D275" s="1" t="s">
        <v>11</v>
      </c>
      <c r="E275" s="9">
        <v>46055.0</v>
      </c>
      <c r="F275" s="2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7">
        <v>46055.342824074076</v>
      </c>
      <c r="B276" s="8" t="s">
        <v>725</v>
      </c>
      <c r="C276" s="1" t="s">
        <v>24</v>
      </c>
      <c r="D276" s="1" t="s">
        <v>11</v>
      </c>
      <c r="E276" s="9">
        <v>46055.0</v>
      </c>
      <c r="F276" s="2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7">
        <v>46055.3409837963</v>
      </c>
      <c r="B277" s="8" t="s">
        <v>727</v>
      </c>
      <c r="C277" s="1" t="s">
        <v>10</v>
      </c>
      <c r="D277" s="1" t="s">
        <v>11</v>
      </c>
      <c r="E277" s="9">
        <v>46055.0</v>
      </c>
      <c r="F277" s="2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7">
        <v>46055.33859953703</v>
      </c>
      <c r="B278" s="8" t="s">
        <v>729</v>
      </c>
      <c r="C278" s="1" t="s">
        <v>10</v>
      </c>
      <c r="D278" s="1" t="s">
        <v>11</v>
      </c>
      <c r="E278" s="9">
        <v>46055.0</v>
      </c>
      <c r="F278" s="2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7">
        <v>46055.32863425926</v>
      </c>
      <c r="B279" s="8" t="s">
        <v>730</v>
      </c>
      <c r="C279" s="1" t="s">
        <v>24</v>
      </c>
      <c r="D279" s="1" t="s">
        <v>11</v>
      </c>
      <c r="E279" s="9">
        <v>46055.0</v>
      </c>
      <c r="F279" s="2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7">
        <v>46055.32638888889</v>
      </c>
      <c r="B280" s="8" t="s">
        <v>732</v>
      </c>
      <c r="C280" s="1" t="s">
        <v>10</v>
      </c>
      <c r="D280" s="1" t="s">
        <v>11</v>
      </c>
      <c r="E280" s="9">
        <v>46055.0</v>
      </c>
      <c r="F280" s="2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7">
        <v>46055.31520833333</v>
      </c>
      <c r="B281" s="8" t="s">
        <v>733</v>
      </c>
      <c r="C281" s="1" t="s">
        <v>24</v>
      </c>
      <c r="D281" s="1" t="s">
        <v>11</v>
      </c>
      <c r="E281" s="9">
        <v>46055.0</v>
      </c>
      <c r="F281" s="2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7">
        <v>46055.3124537037</v>
      </c>
      <c r="B282" s="8" t="s">
        <v>738</v>
      </c>
      <c r="C282" s="1" t="s">
        <v>10</v>
      </c>
      <c r="D282" s="1" t="s">
        <v>11</v>
      </c>
      <c r="E282" s="9">
        <v>46055.0</v>
      </c>
      <c r="F282" s="2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7">
        <v>46055.30447916667</v>
      </c>
      <c r="B283" s="8" t="s">
        <v>740</v>
      </c>
      <c r="C283" s="1" t="s">
        <v>24</v>
      </c>
      <c r="D283" s="1" t="s">
        <v>11</v>
      </c>
      <c r="E283" s="9">
        <v>46055.0</v>
      </c>
      <c r="F283" s="2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7">
        <v>46055.30284722222</v>
      </c>
      <c r="B284" s="8" t="s">
        <v>742</v>
      </c>
      <c r="C284" s="1" t="s">
        <v>24</v>
      </c>
      <c r="D284" s="1" t="s">
        <v>11</v>
      </c>
      <c r="E284" s="9">
        <v>46055.0</v>
      </c>
      <c r="F284" s="2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7">
        <v>46055.29688657408</v>
      </c>
      <c r="B285" s="8" t="s">
        <v>743</v>
      </c>
      <c r="C285" s="1" t="s">
        <v>24</v>
      </c>
      <c r="D285" s="1" t="s">
        <v>11</v>
      </c>
      <c r="E285" s="9">
        <v>46055.0</v>
      </c>
      <c r="F285" s="2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7">
        <v>46053.42422453704</v>
      </c>
      <c r="B286" s="8" t="s">
        <v>747</v>
      </c>
      <c r="C286" s="1" t="s">
        <v>15</v>
      </c>
      <c r="D286" s="1" t="s">
        <v>11</v>
      </c>
      <c r="E286" s="9">
        <v>46053.0</v>
      </c>
      <c r="F286" s="2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7">
        <v>46053.34619212963</v>
      </c>
      <c r="B287" s="8" t="s">
        <v>751</v>
      </c>
      <c r="C287" s="1" t="s">
        <v>24</v>
      </c>
      <c r="D287" s="1" t="s">
        <v>11</v>
      </c>
      <c r="E287" s="9">
        <v>46053.0</v>
      </c>
      <c r="F287" s="2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7">
        <v>46053.34097222222</v>
      </c>
      <c r="B288" s="8" t="s">
        <v>755</v>
      </c>
      <c r="C288" s="1" t="s">
        <v>73</v>
      </c>
      <c r="D288" s="1" t="s">
        <v>11</v>
      </c>
      <c r="E288" s="9">
        <v>46053.0</v>
      </c>
      <c r="F288" s="2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7">
        <v>46050.43855324074</v>
      </c>
      <c r="B289" s="8" t="s">
        <v>756</v>
      </c>
      <c r="C289" s="1" t="s">
        <v>24</v>
      </c>
      <c r="D289" s="1" t="s">
        <v>11</v>
      </c>
      <c r="E289" s="9">
        <v>46050.0</v>
      </c>
      <c r="F289" s="2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7">
        <v>46050.43355324074</v>
      </c>
      <c r="B290" s="8" t="s">
        <v>758</v>
      </c>
      <c r="C290" s="1" t="s">
        <v>24</v>
      </c>
      <c r="D290" s="1" t="s">
        <v>11</v>
      </c>
      <c r="E290" s="9">
        <v>46050.0</v>
      </c>
      <c r="F290" s="2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7">
        <v>46046.386655092596</v>
      </c>
      <c r="B291" s="8" t="s">
        <v>759</v>
      </c>
      <c r="C291" s="1" t="s">
        <v>577</v>
      </c>
      <c r="D291" s="1" t="s">
        <v>11</v>
      </c>
      <c r="E291" s="9">
        <v>46046.0</v>
      </c>
      <c r="F291" s="2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7">
        <v>46046.36976851852</v>
      </c>
      <c r="B292" s="8" t="s">
        <v>761</v>
      </c>
      <c r="C292" s="1" t="s">
        <v>36</v>
      </c>
      <c r="D292" s="1" t="s">
        <v>11</v>
      </c>
      <c r="E292" s="9">
        <v>46046.0</v>
      </c>
      <c r="F292" s="2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7">
        <v>46046.35784722222</v>
      </c>
      <c r="B293" s="8" t="s">
        <v>764</v>
      </c>
      <c r="C293" s="1" t="s">
        <v>10</v>
      </c>
      <c r="D293" s="1" t="s">
        <v>11</v>
      </c>
      <c r="E293" s="9">
        <v>46046.0</v>
      </c>
      <c r="F293" s="2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7">
        <v>46041.57670138889</v>
      </c>
      <c r="B294" s="8" t="s">
        <v>767</v>
      </c>
      <c r="C294" s="1" t="s">
        <v>10</v>
      </c>
      <c r="D294" s="1" t="s">
        <v>11</v>
      </c>
      <c r="E294" s="9">
        <v>46041.0</v>
      </c>
      <c r="F294" s="2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7">
        <v>46041.569247685184</v>
      </c>
      <c r="B295" s="8" t="s">
        <v>770</v>
      </c>
      <c r="C295" s="1" t="s">
        <v>10</v>
      </c>
      <c r="D295" s="1" t="s">
        <v>11</v>
      </c>
      <c r="E295" s="9">
        <v>46041.0</v>
      </c>
      <c r="F295" s="2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7">
        <v>46041.28888888889</v>
      </c>
      <c r="B296" s="8" t="s">
        <v>771</v>
      </c>
      <c r="C296" s="1" t="s">
        <v>10</v>
      </c>
      <c r="D296" s="1" t="s">
        <v>11</v>
      </c>
      <c r="E296" s="9">
        <v>46041.0</v>
      </c>
      <c r="F296" s="2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7">
        <v>46039.36974537037</v>
      </c>
      <c r="B297" s="8" t="s">
        <v>774</v>
      </c>
      <c r="C297" s="1" t="s">
        <v>24</v>
      </c>
      <c r="D297" s="1" t="s">
        <v>11</v>
      </c>
      <c r="E297" s="9">
        <v>46039.0</v>
      </c>
      <c r="F297" s="2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7">
        <v>46017.426099537035</v>
      </c>
      <c r="B298" s="8" t="s">
        <v>775</v>
      </c>
      <c r="C298" s="1" t="s">
        <v>24</v>
      </c>
      <c r="D298" s="1" t="s">
        <v>11</v>
      </c>
      <c r="E298" s="9">
        <v>46017.0</v>
      </c>
      <c r="F298" s="2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7">
        <v>46015.30038194444</v>
      </c>
      <c r="B299" s="8" t="s">
        <v>777</v>
      </c>
      <c r="C299" s="1" t="s">
        <v>24</v>
      </c>
      <c r="D299" s="1" t="s">
        <v>11</v>
      </c>
      <c r="E299" s="9">
        <v>46014.0</v>
      </c>
      <c r="F299" s="2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7">
        <v>46015.299375</v>
      </c>
      <c r="B300" s="8" t="s">
        <v>779</v>
      </c>
      <c r="C300" s="1" t="s">
        <v>24</v>
      </c>
      <c r="D300" s="1" t="s">
        <v>11</v>
      </c>
      <c r="E300" s="9">
        <v>46014.0</v>
      </c>
      <c r="F300" s="2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7">
        <v>46014.32712962963</v>
      </c>
      <c r="B301" s="8" t="s">
        <v>780</v>
      </c>
      <c r="C301" s="1" t="s">
        <v>24</v>
      </c>
      <c r="D301" s="1" t="s">
        <v>11</v>
      </c>
      <c r="E301" s="9">
        <v>46014.0</v>
      </c>
      <c r="F301" s="2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7">
        <v>46014.32148148148</v>
      </c>
      <c r="B302" s="8" t="s">
        <v>784</v>
      </c>
      <c r="C302" s="1" t="s">
        <v>24</v>
      </c>
      <c r="D302" s="1" t="s">
        <v>11</v>
      </c>
      <c r="E302" s="9">
        <v>46014.0</v>
      </c>
      <c r="F302" s="2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7">
        <v>46014.31313657408</v>
      </c>
      <c r="B303" s="8" t="s">
        <v>785</v>
      </c>
      <c r="C303" s="1" t="s">
        <v>24</v>
      </c>
      <c r="D303" s="1" t="s">
        <v>11</v>
      </c>
      <c r="E303" s="9">
        <v>46014.0</v>
      </c>
      <c r="F303" s="2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7">
        <v>46014.312268518515</v>
      </c>
      <c r="B304" s="8" t="s">
        <v>786</v>
      </c>
      <c r="C304" s="1" t="s">
        <v>24</v>
      </c>
      <c r="D304" s="1" t="s">
        <v>11</v>
      </c>
      <c r="E304" s="9">
        <v>46014.0</v>
      </c>
      <c r="F304" s="2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7">
        <v>46014.311064814814</v>
      </c>
      <c r="B305" s="8" t="s">
        <v>789</v>
      </c>
      <c r="C305" s="1" t="s">
        <v>24</v>
      </c>
      <c r="D305" s="1" t="s">
        <v>11</v>
      </c>
      <c r="E305" s="9">
        <v>46014.0</v>
      </c>
      <c r="F305" s="2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7">
        <v>46014.290983796294</v>
      </c>
      <c r="B306" s="8" t="s">
        <v>790</v>
      </c>
      <c r="C306" s="1" t="s">
        <v>15</v>
      </c>
      <c r="D306" s="1" t="s">
        <v>11</v>
      </c>
      <c r="E306" s="9">
        <v>46014.0</v>
      </c>
      <c r="F306" s="2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7">
        <v>46014.28873842592</v>
      </c>
      <c r="B307" s="8" t="s">
        <v>793</v>
      </c>
      <c r="C307" s="1" t="s">
        <v>10</v>
      </c>
      <c r="D307" s="1" t="s">
        <v>11</v>
      </c>
      <c r="E307" s="9">
        <v>46014.0</v>
      </c>
      <c r="F307" s="2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7">
        <v>46014.285833333335</v>
      </c>
      <c r="B308" s="8" t="s">
        <v>794</v>
      </c>
      <c r="C308" s="1" t="s">
        <v>10</v>
      </c>
      <c r="D308" s="1" t="s">
        <v>11</v>
      </c>
      <c r="E308" s="9">
        <v>46014.0</v>
      </c>
      <c r="F308" s="2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7">
        <v>46014.2787962963</v>
      </c>
      <c r="B309" s="8" t="s">
        <v>796</v>
      </c>
      <c r="C309" s="1" t="s">
        <v>36</v>
      </c>
      <c r="D309" s="1" t="s">
        <v>11</v>
      </c>
      <c r="E309" s="9">
        <v>46014.0</v>
      </c>
      <c r="F309" s="2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7">
        <v>46014.263032407405</v>
      </c>
      <c r="B310" s="8" t="s">
        <v>797</v>
      </c>
      <c r="C310" s="1" t="s">
        <v>36</v>
      </c>
      <c r="D310" s="1" t="s">
        <v>11</v>
      </c>
      <c r="E310" s="9">
        <v>46014.0</v>
      </c>
      <c r="F310" s="2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7">
        <v>46011.33726851852</v>
      </c>
      <c r="B311" s="8" t="s">
        <v>799</v>
      </c>
      <c r="C311" s="1" t="s">
        <v>15</v>
      </c>
      <c r="D311" s="1" t="s">
        <v>11</v>
      </c>
      <c r="E311" s="9">
        <v>46011.0</v>
      </c>
      <c r="F311" s="2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7">
        <v>46010.44579861111</v>
      </c>
      <c r="B312" s="8" t="s">
        <v>800</v>
      </c>
      <c r="C312" s="1" t="s">
        <v>24</v>
      </c>
      <c r="D312" s="1" t="s">
        <v>11</v>
      </c>
      <c r="E312" s="9">
        <v>46010.0</v>
      </c>
      <c r="F312" s="2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7">
        <v>46010.443877314814</v>
      </c>
      <c r="B313" s="8" t="s">
        <v>801</v>
      </c>
      <c r="C313" s="1" t="s">
        <v>24</v>
      </c>
      <c r="D313" s="1" t="s">
        <v>11</v>
      </c>
      <c r="E313" s="9">
        <v>46010.0</v>
      </c>
      <c r="F313" s="2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7">
        <v>46010.43855324074</v>
      </c>
      <c r="B314" s="8" t="s">
        <v>804</v>
      </c>
      <c r="C314" s="1" t="s">
        <v>15</v>
      </c>
      <c r="D314" s="1" t="s">
        <v>11</v>
      </c>
      <c r="E314" s="9">
        <v>46010.0</v>
      </c>
      <c r="F314" s="2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7">
        <v>46010.4369212963</v>
      </c>
      <c r="B315" s="8" t="s">
        <v>805</v>
      </c>
      <c r="C315" s="1" t="s">
        <v>10</v>
      </c>
      <c r="D315" s="1" t="s">
        <v>11</v>
      </c>
      <c r="E315" s="9">
        <v>46010.0</v>
      </c>
      <c r="F315" s="2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7">
        <v>46003.47491898148</v>
      </c>
      <c r="B316" s="8" t="s">
        <v>808</v>
      </c>
      <c r="C316" s="1" t="s">
        <v>24</v>
      </c>
      <c r="D316" s="1" t="s">
        <v>11</v>
      </c>
      <c r="E316" s="9">
        <v>46003.0</v>
      </c>
      <c r="F316" s="2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7">
        <v>46003.47121527778</v>
      </c>
      <c r="B317" s="8" t="s">
        <v>811</v>
      </c>
      <c r="C317" s="1" t="s">
        <v>24</v>
      </c>
      <c r="D317" s="1" t="s">
        <v>11</v>
      </c>
      <c r="E317" s="9">
        <v>46003.0</v>
      </c>
      <c r="F317" s="2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7">
        <v>46003.467141203706</v>
      </c>
      <c r="B318" s="8" t="s">
        <v>812</v>
      </c>
      <c r="C318" s="1" t="s">
        <v>10</v>
      </c>
      <c r="D318" s="1" t="s">
        <v>11</v>
      </c>
      <c r="E318" s="9">
        <v>46003.0</v>
      </c>
      <c r="F318" s="2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7">
        <v>46003.45390046296</v>
      </c>
      <c r="B319" s="8" t="s">
        <v>813</v>
      </c>
      <c r="C319" s="1" t="s">
        <v>24</v>
      </c>
      <c r="D319" s="1" t="s">
        <v>11</v>
      </c>
      <c r="E319" s="9">
        <v>46003.0</v>
      </c>
      <c r="F319" s="2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7">
        <v>46003.451261574075</v>
      </c>
      <c r="B320" s="8" t="s">
        <v>816</v>
      </c>
      <c r="C320" s="1" t="s">
        <v>24</v>
      </c>
      <c r="D320" s="1" t="s">
        <v>11</v>
      </c>
      <c r="E320" s="9">
        <v>46003.0</v>
      </c>
      <c r="F320" s="2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7">
        <v>46003.447650462964</v>
      </c>
      <c r="B321" s="8" t="s">
        <v>819</v>
      </c>
      <c r="C321" s="1" t="s">
        <v>24</v>
      </c>
      <c r="D321" s="1" t="s">
        <v>11</v>
      </c>
      <c r="E321" s="9">
        <v>46003.0</v>
      </c>
      <c r="F321" s="2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7">
        <v>46003.44443287037</v>
      </c>
      <c r="B322" s="8" t="s">
        <v>820</v>
      </c>
      <c r="C322" s="1" t="s">
        <v>15</v>
      </c>
      <c r="D322" s="1" t="s">
        <v>11</v>
      </c>
      <c r="E322" s="9">
        <v>46003.0</v>
      </c>
      <c r="F322" s="2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7">
        <v>46003.44074074074</v>
      </c>
      <c r="B323" s="8" t="s">
        <v>823</v>
      </c>
      <c r="C323" s="1" t="s">
        <v>15</v>
      </c>
      <c r="D323" s="1" t="s">
        <v>11</v>
      </c>
      <c r="E323" s="9">
        <v>46003.0</v>
      </c>
      <c r="F323" s="2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7">
        <v>46003.43708333333</v>
      </c>
      <c r="B324" s="8" t="s">
        <v>824</v>
      </c>
      <c r="C324" s="1" t="s">
        <v>10</v>
      </c>
      <c r="D324" s="1" t="s">
        <v>11</v>
      </c>
      <c r="E324" s="9">
        <v>46003.0</v>
      </c>
      <c r="F324" s="2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7">
        <v>46003.421689814815</v>
      </c>
      <c r="B325" s="8" t="s">
        <v>826</v>
      </c>
      <c r="C325" s="1" t="s">
        <v>24</v>
      </c>
      <c r="D325" s="1" t="s">
        <v>11</v>
      </c>
      <c r="E325" s="9">
        <v>46003.0</v>
      </c>
      <c r="F325" s="2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7">
        <v>46003.418958333335</v>
      </c>
      <c r="B326" s="8" t="s">
        <v>828</v>
      </c>
      <c r="C326" s="1" t="s">
        <v>24</v>
      </c>
      <c r="D326" s="1" t="s">
        <v>11</v>
      </c>
      <c r="E326" s="9">
        <v>46003.0</v>
      </c>
      <c r="F326" s="2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7">
        <v>46003.415717592594</v>
      </c>
      <c r="B327" s="8" t="s">
        <v>829</v>
      </c>
      <c r="C327" s="1" t="s">
        <v>15</v>
      </c>
      <c r="D327" s="1" t="s">
        <v>11</v>
      </c>
      <c r="E327" s="9">
        <v>46003.0</v>
      </c>
      <c r="F327" s="2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7">
        <v>46003.40928240741</v>
      </c>
      <c r="B328" s="8" t="s">
        <v>832</v>
      </c>
      <c r="C328" s="1" t="s">
        <v>10</v>
      </c>
      <c r="D328" s="1" t="s">
        <v>11</v>
      </c>
      <c r="E328" s="9">
        <v>46003.0</v>
      </c>
      <c r="F328" s="2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7">
        <v>46003.38253472222</v>
      </c>
      <c r="B329" s="8" t="s">
        <v>833</v>
      </c>
      <c r="C329" s="1" t="s">
        <v>24</v>
      </c>
      <c r="D329" s="1" t="s">
        <v>11</v>
      </c>
      <c r="E329" s="9">
        <v>46003.0</v>
      </c>
      <c r="F329" s="2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7">
        <v>46003.376851851855</v>
      </c>
      <c r="B330" s="8" t="s">
        <v>835</v>
      </c>
      <c r="C330" s="1" t="s">
        <v>24</v>
      </c>
      <c r="D330" s="1" t="s">
        <v>11</v>
      </c>
      <c r="E330" s="9">
        <v>46003.0</v>
      </c>
      <c r="F330" s="2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7">
        <v>46003.374560185184</v>
      </c>
      <c r="B331" s="8" t="s">
        <v>837</v>
      </c>
      <c r="C331" s="1" t="s">
        <v>24</v>
      </c>
      <c r="D331" s="1" t="s">
        <v>11</v>
      </c>
      <c r="E331" s="9">
        <v>46003.0</v>
      </c>
      <c r="F331" s="2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7">
        <v>46003.371342592596</v>
      </c>
      <c r="B332" s="8" t="s">
        <v>838</v>
      </c>
      <c r="C332" s="1" t="s">
        <v>24</v>
      </c>
      <c r="D332" s="1" t="s">
        <v>11</v>
      </c>
      <c r="E332" s="9">
        <v>46003.0</v>
      </c>
      <c r="F332" s="2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7">
        <v>46003.36854166666</v>
      </c>
      <c r="B333" s="8" t="s">
        <v>840</v>
      </c>
      <c r="C333" s="1" t="s">
        <v>24</v>
      </c>
      <c r="D333" s="1" t="s">
        <v>11</v>
      </c>
      <c r="E333" s="9">
        <v>46003.0</v>
      </c>
      <c r="F333" s="2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7">
        <v>46003.364270833335</v>
      </c>
      <c r="B334" s="8" t="s">
        <v>841</v>
      </c>
      <c r="C334" s="1" t="s">
        <v>10</v>
      </c>
      <c r="D334" s="1" t="s">
        <v>11</v>
      </c>
      <c r="E334" s="9">
        <v>46003.0</v>
      </c>
      <c r="F334" s="2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7">
        <v>46003.362395833334</v>
      </c>
      <c r="B335" s="8" t="s">
        <v>843</v>
      </c>
      <c r="C335" s="1" t="s">
        <v>10</v>
      </c>
      <c r="D335" s="1" t="s">
        <v>11</v>
      </c>
      <c r="E335" s="9">
        <v>46003.0</v>
      </c>
      <c r="F335" s="2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7">
        <v>46003.34525462963</v>
      </c>
      <c r="B336" s="8" t="s">
        <v>844</v>
      </c>
      <c r="C336" s="1" t="s">
        <v>24</v>
      </c>
      <c r="D336" s="1" t="s">
        <v>11</v>
      </c>
      <c r="E336" s="9">
        <v>46003.0</v>
      </c>
      <c r="F336" s="2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7">
        <v>46003.3443287037</v>
      </c>
      <c r="B337" s="8" t="s">
        <v>848</v>
      </c>
      <c r="C337" s="1" t="s">
        <v>24</v>
      </c>
      <c r="D337" s="1" t="s">
        <v>11</v>
      </c>
      <c r="E337" s="9">
        <v>46003.0</v>
      </c>
      <c r="F337" s="2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7">
        <v>46003.34261574074</v>
      </c>
      <c r="B338" s="8" t="s">
        <v>849</v>
      </c>
      <c r="C338" s="1" t="s">
        <v>24</v>
      </c>
      <c r="D338" s="1" t="s">
        <v>11</v>
      </c>
      <c r="E338" s="9">
        <v>46003.0</v>
      </c>
      <c r="F338" s="2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7">
        <v>46003.33799768519</v>
      </c>
      <c r="B339" s="8" t="s">
        <v>852</v>
      </c>
      <c r="C339" s="1" t="s">
        <v>24</v>
      </c>
      <c r="D339" s="1" t="s">
        <v>11</v>
      </c>
      <c r="E339" s="9">
        <v>46003.0</v>
      </c>
      <c r="F339" s="2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7">
        <v>46003.334282407406</v>
      </c>
      <c r="B340" s="8" t="s">
        <v>854</v>
      </c>
      <c r="C340" s="1" t="s">
        <v>10</v>
      </c>
      <c r="D340" s="1" t="s">
        <v>11</v>
      </c>
      <c r="E340" s="9">
        <v>46003.0</v>
      </c>
      <c r="F340" s="2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7">
        <v>46003.330555555556</v>
      </c>
      <c r="B341" s="8" t="s">
        <v>856</v>
      </c>
      <c r="C341" s="1" t="s">
        <v>10</v>
      </c>
      <c r="D341" s="1" t="s">
        <v>11</v>
      </c>
      <c r="E341" s="9">
        <v>46003.0</v>
      </c>
      <c r="F341" s="2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7">
        <v>46002.67668981481</v>
      </c>
      <c r="B342" s="8" t="s">
        <v>857</v>
      </c>
      <c r="C342" s="1" t="s">
        <v>10</v>
      </c>
      <c r="D342" s="1" t="s">
        <v>11</v>
      </c>
      <c r="E342" s="9">
        <v>46002.0</v>
      </c>
      <c r="F342" s="2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7">
        <v>46002.38872685185</v>
      </c>
      <c r="B343" s="8" t="s">
        <v>858</v>
      </c>
      <c r="C343" s="1" t="s">
        <v>73</v>
      </c>
      <c r="D343" s="1" t="s">
        <v>11</v>
      </c>
      <c r="E343" s="9">
        <v>46002.0</v>
      </c>
      <c r="F343" s="2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7">
        <v>46002.38793981481</v>
      </c>
      <c r="B344" s="8" t="s">
        <v>860</v>
      </c>
      <c r="C344" s="1" t="s">
        <v>15</v>
      </c>
      <c r="D344" s="1" t="s">
        <v>11</v>
      </c>
      <c r="E344" s="9">
        <v>46002.0</v>
      </c>
      <c r="F344" s="2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7">
        <v>46001.42324074074</v>
      </c>
      <c r="B345" s="8" t="s">
        <v>862</v>
      </c>
      <c r="C345" s="1" t="s">
        <v>36</v>
      </c>
      <c r="D345" s="1" t="s">
        <v>11</v>
      </c>
      <c r="E345" s="9">
        <v>45988.0</v>
      </c>
      <c r="F345" s="2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7">
        <v>46001.41211805555</v>
      </c>
      <c r="B346" s="8" t="s">
        <v>865</v>
      </c>
      <c r="C346" s="1" t="s">
        <v>10</v>
      </c>
      <c r="D346" s="1" t="s">
        <v>11</v>
      </c>
      <c r="E346" s="9">
        <v>45988.0</v>
      </c>
      <c r="F346" s="2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7">
        <v>46001.399872685186</v>
      </c>
      <c r="B347" s="8" t="s">
        <v>867</v>
      </c>
      <c r="C347" s="1" t="s">
        <v>36</v>
      </c>
      <c r="D347" s="1" t="s">
        <v>11</v>
      </c>
      <c r="E347" s="9">
        <v>45988.0</v>
      </c>
      <c r="F347" s="2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7">
        <v>46001.38564814815</v>
      </c>
      <c r="B348" s="8" t="s">
        <v>868</v>
      </c>
      <c r="C348" s="1" t="s">
        <v>10</v>
      </c>
      <c r="D348" s="1" t="s">
        <v>11</v>
      </c>
      <c r="E348" s="9">
        <v>45988.0</v>
      </c>
      <c r="F348" s="2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7">
        <v>46001.38438657407</v>
      </c>
      <c r="B349" s="8" t="s">
        <v>871</v>
      </c>
      <c r="C349" s="1" t="s">
        <v>73</v>
      </c>
      <c r="D349" s="1" t="s">
        <v>11</v>
      </c>
      <c r="E349" s="9">
        <v>45988.0</v>
      </c>
      <c r="F349" s="2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7">
        <v>46001.383206018516</v>
      </c>
      <c r="B350" s="8" t="s">
        <v>872</v>
      </c>
      <c r="C350" s="1" t="s">
        <v>24</v>
      </c>
      <c r="D350" s="1" t="s">
        <v>11</v>
      </c>
      <c r="E350" s="9">
        <v>45988.0</v>
      </c>
      <c r="F350" s="2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7">
        <v>46001.35821759259</v>
      </c>
      <c r="B351" s="8" t="s">
        <v>874</v>
      </c>
      <c r="C351" s="1" t="s">
        <v>24</v>
      </c>
      <c r="D351" s="1" t="s">
        <v>11</v>
      </c>
      <c r="E351" s="9">
        <v>45988.0</v>
      </c>
      <c r="F351" s="2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7">
        <v>46001.354363425926</v>
      </c>
      <c r="B352" s="8" t="s">
        <v>875</v>
      </c>
      <c r="C352" s="1" t="s">
        <v>15</v>
      </c>
      <c r="D352" s="1" t="s">
        <v>11</v>
      </c>
      <c r="E352" s="9">
        <v>45988.0</v>
      </c>
      <c r="F352" s="2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7">
        <v>46001.34950231481</v>
      </c>
      <c r="B353" s="8" t="s">
        <v>878</v>
      </c>
      <c r="C353" s="1" t="s">
        <v>73</v>
      </c>
      <c r="D353" s="1" t="s">
        <v>11</v>
      </c>
      <c r="E353" s="9">
        <v>45988.0</v>
      </c>
      <c r="F353" s="2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7">
        <v>46000.61738425926</v>
      </c>
      <c r="B354" s="8" t="s">
        <v>879</v>
      </c>
      <c r="C354" s="1" t="s">
        <v>15</v>
      </c>
      <c r="D354" s="1" t="s">
        <v>11</v>
      </c>
      <c r="E354" s="9">
        <v>46000.0</v>
      </c>
      <c r="F354" s="2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7">
        <v>46000.61515046296</v>
      </c>
      <c r="B355" s="8" t="s">
        <v>882</v>
      </c>
      <c r="C355" s="1" t="s">
        <v>73</v>
      </c>
      <c r="D355" s="1" t="s">
        <v>11</v>
      </c>
      <c r="E355" s="9">
        <v>46000.0</v>
      </c>
      <c r="F355" s="2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7">
        <v>46000.613530092596</v>
      </c>
      <c r="B356" s="8" t="s">
        <v>885</v>
      </c>
      <c r="C356" s="1" t="s">
        <v>24</v>
      </c>
      <c r="D356" s="1" t="s">
        <v>11</v>
      </c>
      <c r="E356" s="9">
        <v>46000.0</v>
      </c>
      <c r="F356" s="2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7">
        <v>46000.61119212963</v>
      </c>
      <c r="B357" s="8" t="s">
        <v>886</v>
      </c>
      <c r="C357" s="1" t="s">
        <v>24</v>
      </c>
      <c r="D357" s="1" t="s">
        <v>11</v>
      </c>
      <c r="E357" s="9">
        <v>46000.0</v>
      </c>
      <c r="F357" s="2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7">
        <v>46000.60912037037</v>
      </c>
      <c r="B358" s="8" t="s">
        <v>887</v>
      </c>
      <c r="C358" s="1" t="s">
        <v>24</v>
      </c>
      <c r="D358" s="1" t="s">
        <v>11</v>
      </c>
      <c r="E358" s="9">
        <v>46000.0</v>
      </c>
      <c r="F358" s="2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7">
        <v>46000.603483796294</v>
      </c>
      <c r="B359" s="8" t="s">
        <v>890</v>
      </c>
      <c r="C359" s="1" t="s">
        <v>24</v>
      </c>
      <c r="D359" s="1" t="s">
        <v>11</v>
      </c>
      <c r="E359" s="9">
        <v>46000.0</v>
      </c>
      <c r="F359" s="2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7">
        <v>46000.590578703705</v>
      </c>
      <c r="B360" s="8" t="s">
        <v>891</v>
      </c>
      <c r="C360" s="1" t="s">
        <v>73</v>
      </c>
      <c r="D360" s="1" t="s">
        <v>11</v>
      </c>
      <c r="E360" s="9">
        <v>46000.0</v>
      </c>
      <c r="F360" s="2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7">
        <v>46000.58965277778</v>
      </c>
      <c r="B361" s="8" t="s">
        <v>894</v>
      </c>
      <c r="C361" s="1" t="s">
        <v>73</v>
      </c>
      <c r="D361" s="1" t="s">
        <v>11</v>
      </c>
      <c r="E361" s="9">
        <v>46000.0</v>
      </c>
      <c r="F361" s="2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7">
        <v>46000.58866898148</v>
      </c>
      <c r="B362" s="8" t="s">
        <v>895</v>
      </c>
      <c r="C362" s="1" t="s">
        <v>15</v>
      </c>
      <c r="D362" s="1" t="s">
        <v>11</v>
      </c>
      <c r="E362" s="9">
        <v>46000.0</v>
      </c>
      <c r="F362" s="2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7">
        <v>46000.58688657408</v>
      </c>
      <c r="B363" s="8" t="s">
        <v>898</v>
      </c>
      <c r="C363" s="1" t="s">
        <v>15</v>
      </c>
      <c r="D363" s="1" t="s">
        <v>11</v>
      </c>
      <c r="E363" s="9">
        <v>46000.0</v>
      </c>
      <c r="F363" s="2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7">
        <v>46000.578414351854</v>
      </c>
      <c r="B364" s="8" t="s">
        <v>899</v>
      </c>
      <c r="C364" s="1" t="s">
        <v>24</v>
      </c>
      <c r="D364" s="1" t="s">
        <v>11</v>
      </c>
      <c r="E364" s="9">
        <v>46000.0</v>
      </c>
      <c r="F364" s="2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7">
        <v>46000.57369212963</v>
      </c>
      <c r="B365" s="8" t="s">
        <v>902</v>
      </c>
      <c r="C365" s="1" t="s">
        <v>24</v>
      </c>
      <c r="D365" s="1" t="s">
        <v>11</v>
      </c>
      <c r="E365" s="9">
        <v>46000.0</v>
      </c>
      <c r="F365" s="2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7">
        <v>46000.57369212963</v>
      </c>
      <c r="B366" s="8" t="s">
        <v>903</v>
      </c>
      <c r="C366" s="1" t="s">
        <v>24</v>
      </c>
      <c r="D366" s="1" t="s">
        <v>11</v>
      </c>
      <c r="E366" s="9">
        <v>46000.0</v>
      </c>
      <c r="F366" s="2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7">
        <v>46000.558541666665</v>
      </c>
      <c r="B367" s="8" t="s">
        <v>906</v>
      </c>
      <c r="C367" s="1" t="s">
        <v>24</v>
      </c>
      <c r="D367" s="1" t="s">
        <v>11</v>
      </c>
      <c r="E367" s="9">
        <v>46000.0</v>
      </c>
      <c r="F367" s="2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7">
        <v>46000.55341435185</v>
      </c>
      <c r="B368" s="8" t="s">
        <v>908</v>
      </c>
      <c r="C368" s="1" t="s">
        <v>24</v>
      </c>
      <c r="D368" s="1" t="s">
        <v>11</v>
      </c>
      <c r="E368" s="9">
        <v>46000.0</v>
      </c>
      <c r="F368" s="2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7">
        <v>46000.483668981484</v>
      </c>
      <c r="B369" s="8" t="s">
        <v>909</v>
      </c>
      <c r="C369" s="1" t="s">
        <v>24</v>
      </c>
      <c r="D369" s="1" t="s">
        <v>11</v>
      </c>
      <c r="E369" s="9">
        <v>46000.0</v>
      </c>
      <c r="F369" s="2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7">
        <v>46000.47925925926</v>
      </c>
      <c r="B370" s="8" t="s">
        <v>913</v>
      </c>
      <c r="C370" s="1" t="s">
        <v>24</v>
      </c>
      <c r="D370" s="1" t="s">
        <v>11</v>
      </c>
      <c r="E370" s="9">
        <v>46000.0</v>
      </c>
      <c r="F370" s="2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7">
        <v>46000.474224537036</v>
      </c>
      <c r="B371" s="8" t="s">
        <v>914</v>
      </c>
      <c r="C371" s="1" t="s">
        <v>24</v>
      </c>
      <c r="D371" s="1" t="s">
        <v>11</v>
      </c>
      <c r="E371" s="9">
        <v>46000.0</v>
      </c>
      <c r="F371" s="2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7">
        <v>46000.47111111111</v>
      </c>
      <c r="B372" s="8" t="s">
        <v>917</v>
      </c>
      <c r="C372" s="1" t="s">
        <v>24</v>
      </c>
      <c r="D372" s="1" t="s">
        <v>11</v>
      </c>
      <c r="E372" s="9">
        <v>46000.0</v>
      </c>
      <c r="F372" s="2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7">
        <v>46000.466828703706</v>
      </c>
      <c r="B373" s="8" t="s">
        <v>918</v>
      </c>
      <c r="C373" s="1" t="s">
        <v>24</v>
      </c>
      <c r="D373" s="1" t="s">
        <v>11</v>
      </c>
      <c r="E373" s="9">
        <v>46000.0</v>
      </c>
      <c r="F373" s="2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7">
        <v>46000.45957175926</v>
      </c>
      <c r="B374" s="8" t="s">
        <v>922</v>
      </c>
      <c r="C374" s="1" t="s">
        <v>24</v>
      </c>
      <c r="D374" s="1" t="s">
        <v>11</v>
      </c>
      <c r="E374" s="9">
        <v>46000.0</v>
      </c>
      <c r="F374" s="2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7">
        <v>45997.59224537037</v>
      </c>
      <c r="B375" s="8" t="s">
        <v>924</v>
      </c>
      <c r="C375" s="1" t="s">
        <v>24</v>
      </c>
      <c r="D375" s="1" t="s">
        <v>11</v>
      </c>
      <c r="E375" s="9">
        <v>45989.0</v>
      </c>
      <c r="F375" s="2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7">
        <v>45997.579351851855</v>
      </c>
      <c r="B376" s="8" t="s">
        <v>925</v>
      </c>
      <c r="C376" s="1" t="s">
        <v>24</v>
      </c>
      <c r="D376" s="1" t="s">
        <v>11</v>
      </c>
      <c r="E376" s="9">
        <v>45997.0</v>
      </c>
      <c r="F376" s="2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7">
        <v>45997.57759259259</v>
      </c>
      <c r="B377" s="8" t="s">
        <v>929</v>
      </c>
      <c r="C377" s="1" t="s">
        <v>24</v>
      </c>
      <c r="D377" s="1" t="s">
        <v>11</v>
      </c>
      <c r="E377" s="9">
        <v>45997.0</v>
      </c>
      <c r="F377" s="2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7">
        <v>45996.63240740741</v>
      </c>
      <c r="B378" s="8" t="s">
        <v>932</v>
      </c>
      <c r="C378" s="1" t="s">
        <v>24</v>
      </c>
      <c r="D378" s="1" t="s">
        <v>11</v>
      </c>
      <c r="E378" s="9">
        <v>45996.0</v>
      </c>
      <c r="F378" s="2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7">
        <v>45996.63054398148</v>
      </c>
      <c r="B379" s="8" t="s">
        <v>933</v>
      </c>
      <c r="C379" s="1" t="s">
        <v>24</v>
      </c>
      <c r="D379" s="1" t="s">
        <v>11</v>
      </c>
      <c r="E379" s="9">
        <v>45996.0</v>
      </c>
      <c r="F379" s="2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7">
        <v>45995.39028935185</v>
      </c>
      <c r="B380" s="8" t="s">
        <v>937</v>
      </c>
      <c r="C380" s="1" t="s">
        <v>15</v>
      </c>
      <c r="D380" s="1" t="s">
        <v>11</v>
      </c>
      <c r="E380" s="9">
        <v>45995.0</v>
      </c>
      <c r="F380" s="2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7">
        <v>45993.69726851852</v>
      </c>
      <c r="B381" s="8" t="s">
        <v>938</v>
      </c>
      <c r="C381" s="1" t="s">
        <v>10</v>
      </c>
      <c r="D381" s="1" t="s">
        <v>11</v>
      </c>
      <c r="E381" s="9">
        <v>45993.0</v>
      </c>
      <c r="F381" s="2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7">
        <v>45986.76782407407</v>
      </c>
      <c r="B382" s="8" t="s">
        <v>942</v>
      </c>
      <c r="C382" s="1" t="s">
        <v>10</v>
      </c>
      <c r="D382" s="1" t="s">
        <v>11</v>
      </c>
      <c r="E382" s="9">
        <v>45986.0</v>
      </c>
      <c r="F382" s="2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7">
        <v>45986.24989583333</v>
      </c>
      <c r="B383" s="8" t="s">
        <v>945</v>
      </c>
      <c r="C383" s="1" t="s">
        <v>10</v>
      </c>
      <c r="D383" s="1" t="s">
        <v>11</v>
      </c>
      <c r="E383" s="9">
        <v>45986.0</v>
      </c>
      <c r="F383" s="2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7">
        <v>45974.37951388889</v>
      </c>
      <c r="B384" s="8" t="s">
        <v>947</v>
      </c>
      <c r="C384" s="1" t="s">
        <v>24</v>
      </c>
      <c r="D384" s="1" t="s">
        <v>11</v>
      </c>
      <c r="E384" s="9">
        <v>45974.0</v>
      </c>
      <c r="F384" s="2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7">
        <v>45974.37887731481</v>
      </c>
      <c r="B385" s="8" t="s">
        <v>949</v>
      </c>
      <c r="C385" s="1" t="s">
        <v>99</v>
      </c>
      <c r="D385" s="1" t="s">
        <v>11</v>
      </c>
      <c r="E385" s="9">
        <v>45974.0</v>
      </c>
      <c r="F385" s="2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7">
        <v>45974.37872685185</v>
      </c>
      <c r="B386" s="8" t="s">
        <v>950</v>
      </c>
      <c r="C386" s="1" t="s">
        <v>577</v>
      </c>
      <c r="D386" s="1" t="s">
        <v>11</v>
      </c>
      <c r="E386" s="9">
        <v>45974.0</v>
      </c>
      <c r="F386" s="2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7">
        <v>45974.36158564815</v>
      </c>
      <c r="B387" s="8" t="s">
        <v>953</v>
      </c>
      <c r="C387" s="1" t="s">
        <v>24</v>
      </c>
      <c r="D387" s="1" t="s">
        <v>11</v>
      </c>
      <c r="E387" s="9">
        <v>45974.0</v>
      </c>
      <c r="F387" s="2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7">
        <v>45974.36</v>
      </c>
      <c r="B388" s="8" t="s">
        <v>954</v>
      </c>
      <c r="C388" s="1" t="s">
        <v>99</v>
      </c>
      <c r="D388" s="1" t="s">
        <v>11</v>
      </c>
      <c r="E388" s="9">
        <v>45974.0</v>
      </c>
      <c r="F388" s="2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7">
        <v>45974.359606481485</v>
      </c>
      <c r="B389" s="8" t="s">
        <v>957</v>
      </c>
      <c r="C389" s="1" t="s">
        <v>577</v>
      </c>
      <c r="D389" s="1" t="s">
        <v>11</v>
      </c>
      <c r="E389" s="9">
        <v>45974.0</v>
      </c>
      <c r="F389" s="2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7">
        <v>45972.9534375</v>
      </c>
      <c r="B390" s="8" t="s">
        <v>958</v>
      </c>
      <c r="C390" s="1" t="s">
        <v>24</v>
      </c>
      <c r="D390" s="1" t="s">
        <v>11</v>
      </c>
      <c r="E390" s="9">
        <v>45973.0</v>
      </c>
      <c r="F390" s="2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7">
        <v>45972.95247685185</v>
      </c>
      <c r="B391" s="8" t="s">
        <v>961</v>
      </c>
      <c r="C391" s="1" t="s">
        <v>24</v>
      </c>
      <c r="D391" s="1" t="s">
        <v>11</v>
      </c>
      <c r="E391" s="9">
        <v>45973.0</v>
      </c>
      <c r="F391" s="2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7">
        <v>45972.95107638889</v>
      </c>
      <c r="B392" s="8" t="s">
        <v>962</v>
      </c>
      <c r="C392" s="1" t="s">
        <v>24</v>
      </c>
      <c r="D392" s="1" t="s">
        <v>11</v>
      </c>
      <c r="E392" s="9">
        <v>45973.0</v>
      </c>
      <c r="F392" s="2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7">
        <v>45972.94267361111</v>
      </c>
      <c r="B393" s="8" t="s">
        <v>965</v>
      </c>
      <c r="C393" s="1" t="s">
        <v>15</v>
      </c>
      <c r="D393" s="1" t="s">
        <v>11</v>
      </c>
      <c r="E393" s="9">
        <v>45973.0</v>
      </c>
      <c r="F393" s="2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7">
        <v>45972.93863425926</v>
      </c>
      <c r="B394" s="8" t="s">
        <v>966</v>
      </c>
      <c r="C394" s="1" t="s">
        <v>10</v>
      </c>
      <c r="D394" s="1" t="s">
        <v>11</v>
      </c>
      <c r="E394" s="9">
        <v>45973.0</v>
      </c>
      <c r="F394" s="2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7">
        <v>45972.93392361111</v>
      </c>
      <c r="B395" s="8" t="s">
        <v>969</v>
      </c>
      <c r="C395" s="1" t="s">
        <v>10</v>
      </c>
      <c r="D395" s="1" t="s">
        <v>11</v>
      </c>
      <c r="E395" s="9">
        <v>45973.0</v>
      </c>
      <c r="F395" s="2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7">
        <v>45972.62405092592</v>
      </c>
      <c r="B396" s="8" t="s">
        <v>972</v>
      </c>
      <c r="C396" s="1" t="s">
        <v>36</v>
      </c>
      <c r="D396" s="1" t="s">
        <v>11</v>
      </c>
      <c r="E396" s="9">
        <v>45972.0</v>
      </c>
      <c r="F396" s="2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7">
        <v>45966.320081018515</v>
      </c>
      <c r="B397" s="8" t="s">
        <v>975</v>
      </c>
      <c r="C397" s="1" t="s">
        <v>36</v>
      </c>
      <c r="D397" s="1" t="s">
        <v>11</v>
      </c>
      <c r="E397" s="9">
        <v>45966.0</v>
      </c>
      <c r="F397" s="2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7">
        <v>45965.77846064815</v>
      </c>
      <c r="B398" s="8" t="s">
        <v>977</v>
      </c>
      <c r="C398" s="1" t="s">
        <v>10</v>
      </c>
      <c r="D398" s="1" t="s">
        <v>11</v>
      </c>
      <c r="E398" s="9">
        <v>45965.0</v>
      </c>
      <c r="F398" s="2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7">
        <v>45965.77506944445</v>
      </c>
      <c r="B399" s="8" t="s">
        <v>978</v>
      </c>
      <c r="C399" s="1" t="s">
        <v>24</v>
      </c>
      <c r="D399" s="1" t="s">
        <v>11</v>
      </c>
      <c r="E399" s="9">
        <v>45965.0</v>
      </c>
      <c r="F399" s="2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7">
        <v>45965.743368055555</v>
      </c>
      <c r="B400" s="8" t="s">
        <v>981</v>
      </c>
      <c r="C400" s="1" t="s">
        <v>10</v>
      </c>
      <c r="D400" s="1" t="s">
        <v>11</v>
      </c>
      <c r="E400" s="9">
        <v>45965.0</v>
      </c>
      <c r="F400" s="2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7">
        <v>45965.74037037037</v>
      </c>
      <c r="B401" s="8" t="s">
        <v>985</v>
      </c>
      <c r="C401" s="1" t="s">
        <v>24</v>
      </c>
      <c r="D401" s="1" t="s">
        <v>11</v>
      </c>
      <c r="E401" s="9">
        <v>45965.0</v>
      </c>
      <c r="F401" s="2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7">
        <v>45965.70181712963</v>
      </c>
      <c r="B402" s="8" t="s">
        <v>986</v>
      </c>
      <c r="C402" s="1" t="s">
        <v>10</v>
      </c>
      <c r="D402" s="1" t="s">
        <v>11</v>
      </c>
      <c r="E402" s="9">
        <v>45965.0</v>
      </c>
      <c r="F402" s="2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7">
        <v>45965.69789351852</v>
      </c>
      <c r="B403" s="8" t="s">
        <v>989</v>
      </c>
      <c r="C403" s="1" t="s">
        <v>24</v>
      </c>
      <c r="D403" s="1" t="s">
        <v>11</v>
      </c>
      <c r="E403" s="9">
        <v>45965.0</v>
      </c>
      <c r="F403" s="2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7">
        <v>45961.4922337963</v>
      </c>
      <c r="B404" s="8" t="s">
        <v>990</v>
      </c>
      <c r="C404" s="1" t="s">
        <v>99</v>
      </c>
      <c r="D404" s="1" t="s">
        <v>11</v>
      </c>
      <c r="E404" s="9">
        <v>45961.0</v>
      </c>
      <c r="F404" s="2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7">
        <v>45961.49019675926</v>
      </c>
      <c r="B405" s="8" t="s">
        <v>993</v>
      </c>
      <c r="C405" s="1" t="s">
        <v>577</v>
      </c>
      <c r="D405" s="1" t="s">
        <v>11</v>
      </c>
      <c r="E405" s="9">
        <v>45961.0</v>
      </c>
      <c r="F405" s="2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7">
        <v>45961.44991898148</v>
      </c>
      <c r="B406" s="8" t="s">
        <v>996</v>
      </c>
      <c r="C406" s="1" t="s">
        <v>73</v>
      </c>
      <c r="D406" s="1" t="s">
        <v>11</v>
      </c>
      <c r="E406" s="9">
        <v>45961.0</v>
      </c>
      <c r="F406" s="2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7">
        <v>45960.43230324074</v>
      </c>
      <c r="B407" s="8" t="s">
        <v>997</v>
      </c>
      <c r="C407" s="1" t="s">
        <v>24</v>
      </c>
      <c r="D407" s="1" t="s">
        <v>11</v>
      </c>
      <c r="E407" s="9">
        <v>45960.0</v>
      </c>
      <c r="F407" s="2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7">
        <v>45960.43127314815</v>
      </c>
      <c r="B408" s="8" t="s">
        <v>999</v>
      </c>
      <c r="C408" s="1" t="s">
        <v>24</v>
      </c>
      <c r="D408" s="1" t="s">
        <v>11</v>
      </c>
      <c r="E408" s="9">
        <v>45960.0</v>
      </c>
      <c r="F408" s="2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7">
        <v>45960.42938657408</v>
      </c>
      <c r="B409" s="8" t="s">
        <v>1001</v>
      </c>
      <c r="C409" s="1" t="s">
        <v>24</v>
      </c>
      <c r="D409" s="1" t="s">
        <v>11</v>
      </c>
      <c r="E409" s="9">
        <v>45960.0</v>
      </c>
      <c r="F409" s="2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7">
        <v>45960.42834490741</v>
      </c>
      <c r="B410" s="8" t="s">
        <v>1002</v>
      </c>
      <c r="C410" s="1" t="s">
        <v>36</v>
      </c>
      <c r="D410" s="1" t="s">
        <v>11</v>
      </c>
      <c r="E410" s="9">
        <v>45960.0</v>
      </c>
      <c r="F410" s="2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7">
        <v>45960.40337962963</v>
      </c>
      <c r="B411" s="8" t="s">
        <v>1005</v>
      </c>
      <c r="C411" s="1" t="s">
        <v>24</v>
      </c>
      <c r="D411" s="1" t="s">
        <v>11</v>
      </c>
      <c r="E411" s="9">
        <v>45960.0</v>
      </c>
      <c r="F411" s="2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7">
        <v>45960.39173611111</v>
      </c>
      <c r="B412" s="8" t="s">
        <v>1008</v>
      </c>
      <c r="C412" s="1" t="s">
        <v>24</v>
      </c>
      <c r="D412" s="1" t="s">
        <v>11</v>
      </c>
      <c r="E412" s="9">
        <v>45960.0</v>
      </c>
      <c r="F412" s="2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7">
        <v>45960.387604166666</v>
      </c>
      <c r="B413" s="8" t="s">
        <v>1012</v>
      </c>
      <c r="C413" s="1" t="s">
        <v>36</v>
      </c>
      <c r="D413" s="1" t="s">
        <v>11</v>
      </c>
      <c r="E413" s="9">
        <v>45960.0</v>
      </c>
      <c r="F413" s="2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7">
        <v>45958.62818287037</v>
      </c>
      <c r="B414" s="8" t="s">
        <v>1013</v>
      </c>
      <c r="C414" s="1" t="s">
        <v>36</v>
      </c>
      <c r="D414" s="1" t="s">
        <v>11</v>
      </c>
      <c r="E414" s="9">
        <v>45958.0</v>
      </c>
      <c r="F414" s="2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7">
        <v>45957.78134259259</v>
      </c>
      <c r="B415" s="8" t="s">
        <v>1016</v>
      </c>
      <c r="C415" s="1" t="s">
        <v>24</v>
      </c>
      <c r="D415" s="1" t="s">
        <v>11</v>
      </c>
      <c r="E415" s="9">
        <v>45957.0</v>
      </c>
      <c r="F415" s="2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7">
        <v>45957.77747685185</v>
      </c>
      <c r="B416" s="8" t="s">
        <v>1017</v>
      </c>
      <c r="C416" s="1" t="s">
        <v>24</v>
      </c>
      <c r="D416" s="1" t="s">
        <v>11</v>
      </c>
      <c r="E416" s="9">
        <v>45957.0</v>
      </c>
      <c r="F416" s="2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7">
        <v>45957.7634375</v>
      </c>
      <c r="B417" s="8" t="s">
        <v>1020</v>
      </c>
      <c r="C417" s="1" t="s">
        <v>24</v>
      </c>
      <c r="D417" s="1" t="s">
        <v>11</v>
      </c>
      <c r="E417" s="9">
        <v>45957.0</v>
      </c>
      <c r="F417" s="2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7">
        <v>45957.752592592595</v>
      </c>
      <c r="B418" s="8" t="s">
        <v>1021</v>
      </c>
      <c r="C418" s="1" t="s">
        <v>10</v>
      </c>
      <c r="D418" s="1" t="s">
        <v>11</v>
      </c>
      <c r="E418" s="9">
        <v>45957.0</v>
      </c>
      <c r="F418" s="2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7">
        <v>45957.749502314815</v>
      </c>
      <c r="B419" s="8" t="s">
        <v>1024</v>
      </c>
      <c r="C419" s="1" t="s">
        <v>24</v>
      </c>
      <c r="D419" s="1" t="s">
        <v>11</v>
      </c>
      <c r="E419" s="9">
        <v>45957.0</v>
      </c>
      <c r="F419" s="2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7">
        <v>45957.60787037037</v>
      </c>
      <c r="B420" s="8" t="s">
        <v>1025</v>
      </c>
      <c r="C420" s="1" t="s">
        <v>24</v>
      </c>
      <c r="D420" s="1" t="s">
        <v>11</v>
      </c>
      <c r="E420" s="9">
        <v>45957.0</v>
      </c>
      <c r="F420" s="2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7">
        <v>45957.60543981481</v>
      </c>
      <c r="B421" s="8" t="s">
        <v>1027</v>
      </c>
      <c r="C421" s="1" t="s">
        <v>24</v>
      </c>
      <c r="D421" s="1" t="s">
        <v>11</v>
      </c>
      <c r="E421" s="9">
        <v>45957.0</v>
      </c>
      <c r="F421" s="2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7">
        <v>45957.514189814814</v>
      </c>
      <c r="B422" s="8" t="s">
        <v>1028</v>
      </c>
      <c r="C422" s="1" t="s">
        <v>19</v>
      </c>
      <c r="D422" s="1" t="s">
        <v>11</v>
      </c>
      <c r="E422" s="9">
        <v>45955.0</v>
      </c>
      <c r="F422" s="2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7">
        <v>45955.65099537037</v>
      </c>
      <c r="B423" s="8" t="s">
        <v>1030</v>
      </c>
      <c r="C423" s="1" t="s">
        <v>36</v>
      </c>
      <c r="D423" s="1" t="s">
        <v>11</v>
      </c>
      <c r="E423" s="9">
        <v>45955.0</v>
      </c>
      <c r="F423" s="2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7">
        <v>45955.62768518519</v>
      </c>
      <c r="B424" s="8" t="s">
        <v>1031</v>
      </c>
      <c r="C424" s="1" t="s">
        <v>24</v>
      </c>
      <c r="D424" s="1" t="s">
        <v>11</v>
      </c>
      <c r="E424" s="9">
        <v>45955.0</v>
      </c>
      <c r="F424" s="2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7">
        <v>45955.59675925926</v>
      </c>
      <c r="B425" s="8" t="s">
        <v>1035</v>
      </c>
      <c r="C425" s="1" t="s">
        <v>36</v>
      </c>
      <c r="D425" s="1" t="s">
        <v>11</v>
      </c>
      <c r="E425" s="9">
        <v>45955.0</v>
      </c>
      <c r="F425" s="2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7">
        <v>45955.569131944445</v>
      </c>
      <c r="B426" s="8" t="s">
        <v>1037</v>
      </c>
      <c r="C426" s="1" t="s">
        <v>24</v>
      </c>
      <c r="D426" s="1" t="s">
        <v>11</v>
      </c>
      <c r="E426" s="9">
        <v>45955.0</v>
      </c>
      <c r="F426" s="2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7">
        <v>45955.49353009259</v>
      </c>
      <c r="B427" s="8" t="s">
        <v>1038</v>
      </c>
      <c r="C427" s="1" t="s">
        <v>10</v>
      </c>
      <c r="D427" s="1" t="s">
        <v>11</v>
      </c>
      <c r="E427" s="9">
        <v>45955.0</v>
      </c>
      <c r="F427" s="2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7">
        <v>45955.480729166666</v>
      </c>
      <c r="B428" s="8" t="s">
        <v>1040</v>
      </c>
      <c r="C428" s="1" t="s">
        <v>24</v>
      </c>
      <c r="D428" s="1" t="s">
        <v>11</v>
      </c>
      <c r="E428" s="9">
        <v>45955.0</v>
      </c>
      <c r="F428" s="2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7">
        <v>45955.47666666667</v>
      </c>
      <c r="B429" s="8" t="s">
        <v>1041</v>
      </c>
      <c r="C429" s="1" t="s">
        <v>24</v>
      </c>
      <c r="D429" s="1" t="s">
        <v>11</v>
      </c>
      <c r="E429" s="9">
        <v>45955.0</v>
      </c>
      <c r="F429" s="2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7">
        <v>45955.46530092593</v>
      </c>
      <c r="B430" s="8" t="s">
        <v>1043</v>
      </c>
      <c r="C430" s="1" t="s">
        <v>24</v>
      </c>
      <c r="D430" s="1" t="s">
        <v>11</v>
      </c>
      <c r="E430" s="9">
        <v>45955.0</v>
      </c>
      <c r="F430" s="2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7">
        <v>45955.349386574075</v>
      </c>
      <c r="B431" s="8" t="s">
        <v>1044</v>
      </c>
      <c r="C431" s="1" t="s">
        <v>24</v>
      </c>
      <c r="D431" s="1" t="s">
        <v>11</v>
      </c>
      <c r="E431" s="9">
        <v>45955.0</v>
      </c>
      <c r="F431" s="2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7">
        <v>45955.34837962963</v>
      </c>
      <c r="B432" s="8" t="s">
        <v>1046</v>
      </c>
      <c r="C432" s="1" t="s">
        <v>36</v>
      </c>
      <c r="D432" s="1" t="s">
        <v>11</v>
      </c>
      <c r="E432" s="9">
        <v>45955.0</v>
      </c>
      <c r="F432" s="2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7">
        <v>45955.33987268519</v>
      </c>
      <c r="B433" s="8" t="s">
        <v>1049</v>
      </c>
      <c r="C433" s="1" t="s">
        <v>577</v>
      </c>
      <c r="D433" s="1" t="s">
        <v>11</v>
      </c>
      <c r="E433" s="9">
        <v>45955.0</v>
      </c>
      <c r="F433" s="2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7">
        <v>45954.983136574076</v>
      </c>
      <c r="B434" s="8" t="s">
        <v>1050</v>
      </c>
      <c r="C434" s="1" t="s">
        <v>36</v>
      </c>
      <c r="D434" s="1" t="s">
        <v>11</v>
      </c>
      <c r="E434" s="9">
        <v>45955.0</v>
      </c>
      <c r="F434" s="2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7">
        <v>45954.97520833334</v>
      </c>
      <c r="B435" s="8" t="s">
        <v>1052</v>
      </c>
      <c r="C435" s="1" t="s">
        <v>73</v>
      </c>
      <c r="D435" s="1" t="s">
        <v>11</v>
      </c>
      <c r="E435" s="9">
        <v>45955.0</v>
      </c>
      <c r="F435" s="2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7">
        <v>45954.96971064815</v>
      </c>
      <c r="B436" s="8" t="s">
        <v>1055</v>
      </c>
      <c r="C436" s="1" t="s">
        <v>24</v>
      </c>
      <c r="D436" s="1" t="s">
        <v>11</v>
      </c>
      <c r="E436" s="9">
        <v>45955.0</v>
      </c>
      <c r="F436" s="2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7">
        <v>45954.966990740744</v>
      </c>
      <c r="B437" s="8" t="s">
        <v>1058</v>
      </c>
      <c r="C437" s="1" t="s">
        <v>24</v>
      </c>
      <c r="D437" s="1" t="s">
        <v>11</v>
      </c>
      <c r="E437" s="9">
        <v>45955.0</v>
      </c>
      <c r="F437" s="2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7">
        <v>45954.964594907404</v>
      </c>
      <c r="B438" s="8" t="s">
        <v>1059</v>
      </c>
      <c r="C438" s="1" t="s">
        <v>10</v>
      </c>
      <c r="D438" s="1" t="s">
        <v>11</v>
      </c>
      <c r="E438" s="9">
        <v>45955.0</v>
      </c>
      <c r="F438" s="2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7">
        <v>45954.96141203704</v>
      </c>
      <c r="B439" s="8" t="s">
        <v>1063</v>
      </c>
      <c r="C439" s="1" t="s">
        <v>36</v>
      </c>
      <c r="D439" s="1" t="s">
        <v>11</v>
      </c>
      <c r="E439" s="9">
        <v>45954.0</v>
      </c>
      <c r="F439" s="2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7">
        <v>45954.95211805555</v>
      </c>
      <c r="B440" s="8" t="s">
        <v>1064</v>
      </c>
      <c r="C440" s="1" t="s">
        <v>10</v>
      </c>
      <c r="D440" s="1" t="s">
        <v>11</v>
      </c>
      <c r="E440" s="9">
        <v>45954.0</v>
      </c>
      <c r="F440" s="2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7">
        <v>45954.94167824074</v>
      </c>
      <c r="B441" s="8" t="s">
        <v>1067</v>
      </c>
      <c r="C441" s="1" t="s">
        <v>24</v>
      </c>
      <c r="D441" s="1" t="s">
        <v>11</v>
      </c>
      <c r="E441" s="9">
        <v>45954.0</v>
      </c>
      <c r="F441" s="2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7">
        <v>45954.93866898148</v>
      </c>
      <c r="B442" s="8" t="s">
        <v>1068</v>
      </c>
      <c r="C442" s="1" t="s">
        <v>36</v>
      </c>
      <c r="D442" s="1" t="s">
        <v>11</v>
      </c>
      <c r="E442" s="9">
        <v>45954.0</v>
      </c>
      <c r="F442" s="2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7">
        <v>45953.489386574074</v>
      </c>
      <c r="B443" s="8" t="s">
        <v>1072</v>
      </c>
      <c r="C443" s="1" t="s">
        <v>24</v>
      </c>
      <c r="D443" s="1" t="s">
        <v>11</v>
      </c>
      <c r="E443" s="9">
        <v>45953.0</v>
      </c>
      <c r="F443" s="2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7">
        <v>45953.483298611114</v>
      </c>
      <c r="B444" s="8" t="s">
        <v>1074</v>
      </c>
      <c r="C444" s="1" t="s">
        <v>24</v>
      </c>
      <c r="D444" s="1" t="s">
        <v>11</v>
      </c>
      <c r="E444" s="9">
        <v>45953.0</v>
      </c>
      <c r="F444" s="2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7">
        <v>45953.48144675926</v>
      </c>
      <c r="B445" s="8" t="s">
        <v>1077</v>
      </c>
      <c r="C445" s="1" t="s">
        <v>24</v>
      </c>
      <c r="D445" s="1" t="s">
        <v>11</v>
      </c>
      <c r="E445" s="9">
        <v>45953.0</v>
      </c>
      <c r="F445" s="2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7">
        <v>45952.403645833336</v>
      </c>
      <c r="B446" s="8" t="s">
        <v>1079</v>
      </c>
      <c r="C446" s="1" t="s">
        <v>24</v>
      </c>
      <c r="D446" s="1" t="s">
        <v>11</v>
      </c>
      <c r="E446" s="9">
        <v>45952.0</v>
      </c>
      <c r="F446" s="2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7">
        <v>45952.40186342593</v>
      </c>
      <c r="B447" s="8" t="s">
        <v>1081</v>
      </c>
      <c r="C447" s="1" t="s">
        <v>24</v>
      </c>
      <c r="D447" s="1" t="s">
        <v>11</v>
      </c>
      <c r="E447" s="9">
        <v>45952.0</v>
      </c>
      <c r="F447" s="2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7">
        <v>45952.392743055556</v>
      </c>
      <c r="B448" s="8" t="s">
        <v>1082</v>
      </c>
      <c r="C448" s="1" t="s">
        <v>36</v>
      </c>
      <c r="D448" s="1" t="s">
        <v>11</v>
      </c>
      <c r="E448" s="9">
        <v>45952.0</v>
      </c>
      <c r="F448" s="2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7">
        <v>45951.71335648148</v>
      </c>
      <c r="B449" s="8" t="s">
        <v>1084</v>
      </c>
      <c r="C449" s="1" t="s">
        <v>24</v>
      </c>
      <c r="D449" s="1" t="s">
        <v>11</v>
      </c>
      <c r="E449" s="9">
        <v>45951.0</v>
      </c>
      <c r="F449" s="2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7">
        <v>45950.89824074074</v>
      </c>
      <c r="B450" s="8" t="s">
        <v>1086</v>
      </c>
      <c r="C450" s="1" t="s">
        <v>36</v>
      </c>
      <c r="D450" s="1" t="s">
        <v>11</v>
      </c>
      <c r="E450" s="9">
        <v>45950.0</v>
      </c>
      <c r="F450" s="2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7">
        <v>45950.88422453704</v>
      </c>
      <c r="B451" s="8" t="s">
        <v>1089</v>
      </c>
      <c r="C451" s="1" t="s">
        <v>24</v>
      </c>
      <c r="D451" s="1" t="s">
        <v>11</v>
      </c>
      <c r="E451" s="9">
        <v>45950.0</v>
      </c>
      <c r="F451" s="2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7">
        <v>45950.88041666667</v>
      </c>
      <c r="B452" s="8" t="s">
        <v>1093</v>
      </c>
      <c r="C452" s="1" t="s">
        <v>36</v>
      </c>
      <c r="D452" s="1" t="s">
        <v>11</v>
      </c>
      <c r="E452" s="9">
        <v>45950.0</v>
      </c>
      <c r="F452" s="2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7">
        <v>45950.87457175926</v>
      </c>
      <c r="B453" s="8" t="s">
        <v>1094</v>
      </c>
      <c r="C453" s="1" t="s">
        <v>99</v>
      </c>
      <c r="D453" s="1" t="s">
        <v>11</v>
      </c>
      <c r="E453" s="9">
        <v>45950.0</v>
      </c>
      <c r="F453" s="2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7">
        <v>45950.86309027778</v>
      </c>
      <c r="B454" s="8" t="s">
        <v>1096</v>
      </c>
      <c r="C454" s="1" t="s">
        <v>24</v>
      </c>
      <c r="D454" s="1" t="s">
        <v>11</v>
      </c>
      <c r="E454" s="9">
        <v>45950.0</v>
      </c>
      <c r="F454" s="2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7">
        <v>45950.85543981481</v>
      </c>
      <c r="B455" s="8" t="s">
        <v>1099</v>
      </c>
      <c r="C455" s="1" t="s">
        <v>36</v>
      </c>
      <c r="D455" s="1" t="s">
        <v>11</v>
      </c>
      <c r="E455" s="9">
        <v>45950.0</v>
      </c>
      <c r="F455" s="2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7">
        <v>45950.8487962963</v>
      </c>
      <c r="B456" s="8" t="s">
        <v>1101</v>
      </c>
      <c r="C456" s="1" t="s">
        <v>99</v>
      </c>
      <c r="D456" s="1" t="s">
        <v>11</v>
      </c>
      <c r="E456" s="9">
        <v>45950.0</v>
      </c>
      <c r="F456" s="2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7">
        <v>45950.36252314815</v>
      </c>
      <c r="B457" s="8" t="s">
        <v>1103</v>
      </c>
      <c r="C457" s="1" t="s">
        <v>24</v>
      </c>
      <c r="D457" s="1" t="s">
        <v>11</v>
      </c>
      <c r="E457" s="9">
        <v>45950.0</v>
      </c>
      <c r="F457" s="2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7">
        <v>45950.36054398148</v>
      </c>
      <c r="B458" s="8" t="s">
        <v>1107</v>
      </c>
      <c r="C458" s="1" t="s">
        <v>36</v>
      </c>
      <c r="D458" s="1" t="s">
        <v>11</v>
      </c>
      <c r="E458" s="9">
        <v>45950.0</v>
      </c>
      <c r="F458" s="2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7">
        <v>45950.27746527778</v>
      </c>
      <c r="B459" s="8" t="s">
        <v>1109</v>
      </c>
      <c r="C459" s="1" t="s">
        <v>24</v>
      </c>
      <c r="D459" s="1" t="s">
        <v>11</v>
      </c>
      <c r="E459" s="9">
        <v>45950.0</v>
      </c>
      <c r="F459" s="2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7">
        <v>45948.55768518519</v>
      </c>
      <c r="B460" s="8" t="s">
        <v>1113</v>
      </c>
      <c r="C460" s="1" t="s">
        <v>36</v>
      </c>
      <c r="D460" s="1" t="s">
        <v>11</v>
      </c>
      <c r="E460" s="9">
        <v>45948.0</v>
      </c>
      <c r="F460" s="2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7">
        <v>45948.53693287037</v>
      </c>
      <c r="B461" s="8" t="s">
        <v>1115</v>
      </c>
      <c r="C461" s="1" t="s">
        <v>577</v>
      </c>
      <c r="D461" s="1" t="s">
        <v>11</v>
      </c>
      <c r="E461" s="9">
        <v>45948.0</v>
      </c>
      <c r="F461" s="2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7">
        <v>45948.335648148146</v>
      </c>
      <c r="B462" s="8" t="s">
        <v>1117</v>
      </c>
      <c r="C462" s="1" t="s">
        <v>73</v>
      </c>
      <c r="D462" s="1" t="s">
        <v>11</v>
      </c>
      <c r="E462" s="9">
        <v>45948.0</v>
      </c>
      <c r="F462" s="2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7">
        <v>45948.33252314815</v>
      </c>
      <c r="B463" s="8" t="s">
        <v>1118</v>
      </c>
      <c r="C463" s="1" t="s">
        <v>19</v>
      </c>
      <c r="D463" s="1" t="s">
        <v>11</v>
      </c>
      <c r="E463" s="9">
        <v>45948.0</v>
      </c>
      <c r="F463" s="2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7">
        <v>45948.326689814814</v>
      </c>
      <c r="B464" s="8" t="s">
        <v>1122</v>
      </c>
      <c r="C464" s="1" t="s">
        <v>24</v>
      </c>
      <c r="D464" s="1" t="s">
        <v>11</v>
      </c>
      <c r="E464" s="9">
        <v>45948.0</v>
      </c>
      <c r="F464" s="2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7">
        <v>45939.875659722224</v>
      </c>
      <c r="B465" s="8" t="s">
        <v>1124</v>
      </c>
      <c r="C465" s="1" t="s">
        <v>24</v>
      </c>
      <c r="D465" s="1" t="s">
        <v>11</v>
      </c>
      <c r="E465" s="9">
        <v>45939.0</v>
      </c>
      <c r="F465" s="2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7">
        <v>45937.8783912037</v>
      </c>
      <c r="B466" s="8" t="s">
        <v>1126</v>
      </c>
      <c r="C466" s="1" t="s">
        <v>24</v>
      </c>
      <c r="D466" s="1" t="s">
        <v>1127</v>
      </c>
      <c r="E466" s="9">
        <v>45939.0</v>
      </c>
      <c r="F466" s="2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7">
        <v>45937.87165509259</v>
      </c>
      <c r="B467" s="8" t="s">
        <v>1129</v>
      </c>
      <c r="C467" s="1" t="s">
        <v>24</v>
      </c>
      <c r="D467" s="1" t="s">
        <v>11</v>
      </c>
      <c r="E467" s="9">
        <v>45937.0</v>
      </c>
      <c r="F467" s="2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7">
        <v>45937.79287037037</v>
      </c>
      <c r="B468" s="8" t="s">
        <v>1130</v>
      </c>
      <c r="C468" s="1" t="s">
        <v>10</v>
      </c>
      <c r="D468" s="1" t="s">
        <v>11</v>
      </c>
      <c r="E468" s="9">
        <v>45937.0</v>
      </c>
      <c r="F468" s="2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7">
        <v>45937.78506944444</v>
      </c>
      <c r="B469" s="8" t="s">
        <v>1134</v>
      </c>
      <c r="C469" s="1" t="s">
        <v>24</v>
      </c>
      <c r="D469" s="1" t="s">
        <v>11</v>
      </c>
      <c r="E469" s="9">
        <v>45937.0</v>
      </c>
      <c r="F469" s="2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7">
        <v>45937.776712962965</v>
      </c>
      <c r="B470" s="8" t="s">
        <v>1135</v>
      </c>
      <c r="C470" s="1" t="s">
        <v>24</v>
      </c>
      <c r="D470" s="1" t="s">
        <v>11</v>
      </c>
      <c r="E470" s="9">
        <v>45937.0</v>
      </c>
      <c r="F470" s="2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7">
        <v>45937.768587962964</v>
      </c>
      <c r="B471" s="8" t="s">
        <v>1138</v>
      </c>
      <c r="C471" s="1" t="s">
        <v>24</v>
      </c>
      <c r="D471" s="1" t="s">
        <v>11</v>
      </c>
      <c r="E471" s="9">
        <v>45937.0</v>
      </c>
      <c r="F471" s="2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7">
        <v>45937.76226851852</v>
      </c>
      <c r="B472" s="8" t="s">
        <v>1141</v>
      </c>
      <c r="C472" s="1" t="s">
        <v>36</v>
      </c>
      <c r="D472" s="1" t="s">
        <v>11</v>
      </c>
      <c r="E472" s="9">
        <v>45937.0</v>
      </c>
      <c r="F472" s="2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7">
        <v>45936.361863425926</v>
      </c>
      <c r="B473" s="8" t="s">
        <v>1142</v>
      </c>
      <c r="C473" s="1" t="s">
        <v>73</v>
      </c>
      <c r="D473" s="1" t="s">
        <v>11</v>
      </c>
      <c r="E473" s="9">
        <v>45936.0</v>
      </c>
      <c r="F473" s="2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7">
        <v>45936.358668981484</v>
      </c>
      <c r="B474" s="8" t="s">
        <v>1145</v>
      </c>
      <c r="C474" s="1" t="s">
        <v>24</v>
      </c>
      <c r="D474" s="1" t="s">
        <v>11</v>
      </c>
      <c r="E474" s="9">
        <v>45936.0</v>
      </c>
      <c r="F474" s="2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7">
        <v>45936.353414351855</v>
      </c>
      <c r="B475" s="8" t="s">
        <v>1148</v>
      </c>
      <c r="C475" s="1" t="s">
        <v>24</v>
      </c>
      <c r="D475" s="1" t="s">
        <v>11</v>
      </c>
      <c r="E475" s="9">
        <v>45936.0</v>
      </c>
      <c r="F475" s="2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7">
        <v>45936.3449537037</v>
      </c>
      <c r="B476" s="8" t="s">
        <v>1150</v>
      </c>
      <c r="C476" s="1" t="s">
        <v>99</v>
      </c>
      <c r="D476" s="1" t="s">
        <v>11</v>
      </c>
      <c r="E476" s="9">
        <v>45936.0</v>
      </c>
      <c r="F476" s="2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7">
        <v>45936.34349537037</v>
      </c>
      <c r="B477" s="8" t="s">
        <v>1151</v>
      </c>
      <c r="C477" s="1" t="s">
        <v>577</v>
      </c>
      <c r="D477" s="1" t="s">
        <v>11</v>
      </c>
      <c r="E477" s="9">
        <v>45936.0</v>
      </c>
      <c r="F477" s="2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7">
        <v>45931.82884259259</v>
      </c>
      <c r="B478" s="8" t="s">
        <v>1154</v>
      </c>
      <c r="C478" s="1" t="s">
        <v>24</v>
      </c>
      <c r="D478" s="1" t="s">
        <v>11</v>
      </c>
      <c r="E478" s="9">
        <v>45931.0</v>
      </c>
      <c r="F478" s="2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7">
        <v>45929.874456018515</v>
      </c>
      <c r="B479" s="8" t="s">
        <v>1156</v>
      </c>
      <c r="C479" s="1" t="s">
        <v>24</v>
      </c>
      <c r="D479" s="1" t="s">
        <v>11</v>
      </c>
      <c r="E479" s="9">
        <v>45929.0</v>
      </c>
      <c r="F479" s="2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7">
        <v>45929.8537037037</v>
      </c>
      <c r="B480" s="8" t="s">
        <v>1158</v>
      </c>
      <c r="C480" s="1" t="s">
        <v>24</v>
      </c>
      <c r="D480" s="1" t="s">
        <v>11</v>
      </c>
      <c r="E480" s="9">
        <v>45929.0</v>
      </c>
      <c r="F480" s="2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7">
        <v>45929.849594907406</v>
      </c>
      <c r="B481" s="8" t="s">
        <v>1159</v>
      </c>
      <c r="C481" s="1" t="s">
        <v>24</v>
      </c>
      <c r="D481" s="1" t="s">
        <v>11</v>
      </c>
      <c r="E481" s="9">
        <v>45929.0</v>
      </c>
      <c r="F481" s="2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7">
        <v>45929.46142361111</v>
      </c>
      <c r="B482" s="8" t="s">
        <v>1163</v>
      </c>
      <c r="C482" s="1" t="s">
        <v>15</v>
      </c>
      <c r="D482" s="1" t="s">
        <v>11</v>
      </c>
      <c r="E482" s="9">
        <v>45929.0</v>
      </c>
      <c r="F482" s="2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7">
        <v>45929.38416666666</v>
      </c>
      <c r="B483" s="8" t="s">
        <v>1166</v>
      </c>
      <c r="C483" s="1" t="s">
        <v>36</v>
      </c>
      <c r="D483" s="1" t="s">
        <v>11</v>
      </c>
      <c r="E483" s="9">
        <v>45929.0</v>
      </c>
      <c r="F483" s="2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7">
        <v>45929.37048611111</v>
      </c>
      <c r="B484" s="8" t="s">
        <v>1167</v>
      </c>
      <c r="C484" s="1" t="s">
        <v>36</v>
      </c>
      <c r="D484" s="1" t="s">
        <v>11</v>
      </c>
      <c r="E484" s="9">
        <v>45929.0</v>
      </c>
      <c r="F484" s="2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7">
        <v>45929.365208333336</v>
      </c>
      <c r="B485" s="8" t="s">
        <v>1169</v>
      </c>
      <c r="C485" s="1" t="s">
        <v>36</v>
      </c>
      <c r="D485" s="1" t="s">
        <v>11</v>
      </c>
      <c r="E485" s="9">
        <v>45929.0</v>
      </c>
      <c r="F485" s="2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7">
        <v>45929.345497685186</v>
      </c>
      <c r="B486" s="8" t="s">
        <v>1172</v>
      </c>
      <c r="C486" s="1" t="s">
        <v>36</v>
      </c>
      <c r="D486" s="1" t="s">
        <v>11</v>
      </c>
      <c r="E486" s="9">
        <v>45929.0</v>
      </c>
      <c r="F486" s="2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7">
        <v>45929.337685185186</v>
      </c>
      <c r="B487" s="8" t="s">
        <v>1174</v>
      </c>
      <c r="C487" s="1" t="s">
        <v>24</v>
      </c>
      <c r="D487" s="1" t="s">
        <v>11</v>
      </c>
      <c r="E487" s="9">
        <v>45929.0</v>
      </c>
      <c r="F487" s="2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7">
        <v>45929.335497685184</v>
      </c>
      <c r="B488" s="8" t="s">
        <v>1177</v>
      </c>
      <c r="C488" s="1" t="s">
        <v>36</v>
      </c>
      <c r="D488" s="1" t="s">
        <v>11</v>
      </c>
      <c r="E488" s="9">
        <v>45929.0</v>
      </c>
      <c r="F488" s="2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7">
        <v>45926.443020833336</v>
      </c>
      <c r="B489" s="8" t="s">
        <v>1180</v>
      </c>
      <c r="C489" s="1" t="s">
        <v>10</v>
      </c>
      <c r="D489" s="1" t="s">
        <v>11</v>
      </c>
      <c r="E489" s="9">
        <v>45925.0</v>
      </c>
      <c r="F489" s="2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7">
        <v>45926.42967592592</v>
      </c>
      <c r="B490" s="8" t="s">
        <v>1181</v>
      </c>
      <c r="C490" s="1" t="s">
        <v>36</v>
      </c>
      <c r="D490" s="1" t="s">
        <v>11</v>
      </c>
      <c r="E490" s="9">
        <v>45926.0</v>
      </c>
      <c r="F490" s="2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7">
        <v>45926.413935185185</v>
      </c>
      <c r="B491" s="8" t="s">
        <v>1185</v>
      </c>
      <c r="C491" s="1" t="s">
        <v>36</v>
      </c>
      <c r="D491" s="1" t="s">
        <v>11</v>
      </c>
      <c r="E491" s="9">
        <v>45926.0</v>
      </c>
      <c r="F491" s="2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7">
        <v>45925.68309027778</v>
      </c>
      <c r="B492" s="8" t="s">
        <v>1187</v>
      </c>
      <c r="C492" s="1" t="s">
        <v>24</v>
      </c>
      <c r="D492" s="1" t="s">
        <v>11</v>
      </c>
      <c r="E492" s="9">
        <v>45925.0</v>
      </c>
      <c r="F492" s="2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7">
        <v>45918.602268518516</v>
      </c>
      <c r="B493" s="8" t="s">
        <v>1192</v>
      </c>
      <c r="C493" s="1" t="s">
        <v>36</v>
      </c>
      <c r="D493" s="1" t="s">
        <v>11</v>
      </c>
      <c r="E493" s="9">
        <v>45918.0</v>
      </c>
      <c r="F493" s="2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7">
        <v>45918.59490740741</v>
      </c>
      <c r="B494" s="8" t="s">
        <v>1193</v>
      </c>
      <c r="C494" s="1" t="s">
        <v>36</v>
      </c>
      <c r="D494" s="1" t="s">
        <v>11</v>
      </c>
      <c r="E494" s="9">
        <v>45918.0</v>
      </c>
      <c r="F494" s="2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7">
        <v>45918.542129629626</v>
      </c>
      <c r="B495" s="8" t="s">
        <v>1196</v>
      </c>
      <c r="C495" s="1" t="s">
        <v>10</v>
      </c>
      <c r="D495" s="1" t="s">
        <v>11</v>
      </c>
      <c r="E495" s="9">
        <v>45918.0</v>
      </c>
      <c r="F495" s="2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7">
        <v>45918.51195601852</v>
      </c>
      <c r="B496" s="8" t="s">
        <v>1197</v>
      </c>
      <c r="C496" s="1" t="s">
        <v>24</v>
      </c>
      <c r="D496" s="1" t="s">
        <v>11</v>
      </c>
      <c r="E496" s="9">
        <v>45918.0</v>
      </c>
      <c r="F496" s="2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7">
        <v>45918.510034722225</v>
      </c>
      <c r="B497" s="8" t="s">
        <v>1199</v>
      </c>
      <c r="C497" s="1" t="s">
        <v>36</v>
      </c>
      <c r="D497" s="1" t="s">
        <v>11</v>
      </c>
      <c r="E497" s="9">
        <v>45918.0</v>
      </c>
      <c r="F497" s="2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7">
        <v>45918.504108796296</v>
      </c>
      <c r="B498" s="8" t="s">
        <v>1201</v>
      </c>
      <c r="C498" s="1" t="s">
        <v>36</v>
      </c>
      <c r="D498" s="1" t="s">
        <v>11</v>
      </c>
      <c r="E498" s="9">
        <v>45918.0</v>
      </c>
      <c r="F498" s="2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7">
        <v>45916.40096064815</v>
      </c>
      <c r="B499" s="8" t="s">
        <v>1204</v>
      </c>
      <c r="C499" s="1" t="s">
        <v>24</v>
      </c>
      <c r="D499" s="1" t="s">
        <v>11</v>
      </c>
      <c r="E499" s="9">
        <v>45916.0</v>
      </c>
      <c r="F499" s="2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7">
        <v>45916.34636574074</v>
      </c>
      <c r="B500" s="8" t="s">
        <v>1206</v>
      </c>
      <c r="C500" s="1" t="s">
        <v>36</v>
      </c>
      <c r="D500" s="1" t="s">
        <v>11</v>
      </c>
      <c r="E500" s="9">
        <v>45916.0</v>
      </c>
      <c r="F500" s="2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7">
        <v>45915.539930555555</v>
      </c>
      <c r="B501" s="8" t="s">
        <v>1209</v>
      </c>
      <c r="C501" s="1" t="s">
        <v>36</v>
      </c>
      <c r="D501" s="1" t="s">
        <v>11</v>
      </c>
      <c r="E501" s="9">
        <v>45915.0</v>
      </c>
      <c r="F501" s="2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7">
        <v>45915.52912037037</v>
      </c>
      <c r="B502" s="8" t="s">
        <v>1210</v>
      </c>
      <c r="C502" s="1" t="s">
        <v>24</v>
      </c>
      <c r="D502" s="1" t="s">
        <v>11</v>
      </c>
      <c r="E502" s="9">
        <v>45915.0</v>
      </c>
      <c r="F502" s="2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7">
        <v>45915.52013888889</v>
      </c>
      <c r="B503" s="8" t="s">
        <v>1212</v>
      </c>
      <c r="C503" s="1" t="s">
        <v>24</v>
      </c>
      <c r="D503" s="1" t="s">
        <v>11</v>
      </c>
      <c r="E503" s="9">
        <v>45915.0</v>
      </c>
      <c r="F503" s="2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7">
        <v>45915.51703703704</v>
      </c>
      <c r="B504" s="8" t="s">
        <v>1214</v>
      </c>
      <c r="C504" s="1" t="s">
        <v>215</v>
      </c>
      <c r="D504" s="1" t="s">
        <v>11</v>
      </c>
      <c r="E504" s="9">
        <v>45915.0</v>
      </c>
      <c r="F504" s="2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7">
        <v>45915.504745370374</v>
      </c>
      <c r="B505" s="8" t="s">
        <v>1216</v>
      </c>
      <c r="C505" s="1" t="s">
        <v>36</v>
      </c>
      <c r="D505" s="1" t="s">
        <v>11</v>
      </c>
      <c r="E505" s="9">
        <v>45915.0</v>
      </c>
      <c r="F505" s="2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7">
        <v>45915.486921296295</v>
      </c>
      <c r="B506" s="8" t="s">
        <v>1217</v>
      </c>
      <c r="C506" s="1" t="s">
        <v>36</v>
      </c>
      <c r="D506" s="1" t="s">
        <v>11</v>
      </c>
      <c r="E506" s="9">
        <v>45915.0</v>
      </c>
      <c r="F506" s="2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7">
        <v>45912.73050925926</v>
      </c>
      <c r="B507" s="8" t="s">
        <v>1220</v>
      </c>
      <c r="C507" s="1" t="s">
        <v>99</v>
      </c>
      <c r="D507" s="1" t="s">
        <v>11</v>
      </c>
      <c r="E507" s="9">
        <v>45912.0</v>
      </c>
      <c r="F507" s="2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7">
        <v>45912.72994212963</v>
      </c>
      <c r="B508" s="8" t="s">
        <v>1223</v>
      </c>
      <c r="C508" s="1" t="s">
        <v>36</v>
      </c>
      <c r="D508" s="1" t="s">
        <v>11</v>
      </c>
      <c r="E508" s="9">
        <v>45912.0</v>
      </c>
      <c r="F508" s="2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7">
        <v>45912.706296296295</v>
      </c>
      <c r="B509" s="8" t="s">
        <v>1224</v>
      </c>
      <c r="C509" s="1" t="s">
        <v>36</v>
      </c>
      <c r="D509" s="1" t="s">
        <v>11</v>
      </c>
      <c r="E509" s="9">
        <v>45912.0</v>
      </c>
      <c r="F509" s="2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7">
        <v>45904.89741898148</v>
      </c>
      <c r="B510" s="8" t="s">
        <v>1227</v>
      </c>
      <c r="C510" s="1" t="s">
        <v>24</v>
      </c>
      <c r="D510" s="1" t="s">
        <v>11</v>
      </c>
      <c r="E510" s="9">
        <v>45904.0</v>
      </c>
      <c r="F510" s="2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7">
        <v>45904.881585648145</v>
      </c>
      <c r="B511" s="8" t="s">
        <v>1229</v>
      </c>
      <c r="C511" s="1" t="s">
        <v>10</v>
      </c>
      <c r="D511" s="1" t="s">
        <v>11</v>
      </c>
      <c r="E511" s="9">
        <v>45904.0</v>
      </c>
      <c r="F511" s="2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7">
        <v>45904.871030092596</v>
      </c>
      <c r="B512" s="8" t="s">
        <v>1230</v>
      </c>
      <c r="C512" s="1" t="s">
        <v>15</v>
      </c>
      <c r="D512" s="1" t="s">
        <v>11</v>
      </c>
      <c r="E512" s="9">
        <v>45904.0</v>
      </c>
      <c r="F512" s="2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7">
        <v>45904.419375</v>
      </c>
      <c r="B513" s="8" t="s">
        <v>1233</v>
      </c>
      <c r="C513" s="1" t="s">
        <v>24</v>
      </c>
      <c r="D513" s="1" t="s">
        <v>11</v>
      </c>
      <c r="E513" s="9">
        <v>45904.0</v>
      </c>
      <c r="F513" s="2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7">
        <v>45904.41846064815</v>
      </c>
      <c r="B514" s="8" t="s">
        <v>1235</v>
      </c>
      <c r="C514" s="1" t="s">
        <v>24</v>
      </c>
      <c r="D514" s="1" t="s">
        <v>11</v>
      </c>
      <c r="E514" s="9">
        <v>45904.0</v>
      </c>
      <c r="F514" s="2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7">
        <v>45903.98158564815</v>
      </c>
      <c r="B515" s="8" t="s">
        <v>1236</v>
      </c>
      <c r="C515" s="1" t="s">
        <v>15</v>
      </c>
      <c r="D515" s="1" t="s">
        <v>11</v>
      </c>
      <c r="E515" s="9">
        <v>45904.0</v>
      </c>
      <c r="F515" s="2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7">
        <v>45903.9615162037</v>
      </c>
      <c r="B516" s="8" t="s">
        <v>1238</v>
      </c>
      <c r="C516" s="1" t="s">
        <v>10</v>
      </c>
      <c r="D516" s="1" t="s">
        <v>11</v>
      </c>
      <c r="E516" s="9">
        <v>45904.0</v>
      </c>
      <c r="F516" s="2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7">
        <v>45903.30856481481</v>
      </c>
      <c r="B517" s="8" t="s">
        <v>1239</v>
      </c>
      <c r="C517" s="1" t="s">
        <v>24</v>
      </c>
      <c r="D517" s="1" t="s">
        <v>11</v>
      </c>
      <c r="E517" s="9">
        <v>45903.0</v>
      </c>
      <c r="F517" s="2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7">
        <v>45903.30349537037</v>
      </c>
      <c r="B518" s="8" t="s">
        <v>1242</v>
      </c>
      <c r="C518" s="1" t="s">
        <v>36</v>
      </c>
      <c r="D518" s="1" t="s">
        <v>11</v>
      </c>
      <c r="E518" s="9">
        <v>45903.0</v>
      </c>
      <c r="F518" s="2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7">
        <v>45898.403275462966</v>
      </c>
      <c r="B519" s="8" t="s">
        <v>1245</v>
      </c>
      <c r="C519" s="1" t="s">
        <v>36</v>
      </c>
      <c r="D519" s="1" t="s">
        <v>11</v>
      </c>
      <c r="E519" s="9">
        <v>45898.0</v>
      </c>
      <c r="F519" s="2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7">
        <v>45898.3890625</v>
      </c>
      <c r="B520" s="8" t="s">
        <v>1248</v>
      </c>
      <c r="C520" s="1" t="s">
        <v>10</v>
      </c>
      <c r="D520" s="1" t="s">
        <v>11</v>
      </c>
      <c r="E520" s="9">
        <v>45898.0</v>
      </c>
      <c r="F520" s="2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7">
        <v>45898.38452546296</v>
      </c>
      <c r="B521" s="8" t="s">
        <v>1251</v>
      </c>
      <c r="C521" s="1" t="s">
        <v>15</v>
      </c>
      <c r="D521" s="1" t="s">
        <v>11</v>
      </c>
      <c r="E521" s="9">
        <v>45898.0</v>
      </c>
      <c r="F521" s="2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7">
        <v>45898.35909722222</v>
      </c>
      <c r="B522" s="8" t="s">
        <v>1254</v>
      </c>
      <c r="C522" s="1" t="s">
        <v>24</v>
      </c>
      <c r="D522" s="1" t="s">
        <v>11</v>
      </c>
      <c r="E522" s="9">
        <v>45898.0</v>
      </c>
      <c r="F522" s="2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7">
        <v>45894.81416666666</v>
      </c>
      <c r="B523" s="8" t="s">
        <v>1256</v>
      </c>
      <c r="C523" s="1" t="s">
        <v>24</v>
      </c>
      <c r="D523" s="1" t="s">
        <v>11</v>
      </c>
      <c r="E523" s="9">
        <v>45894.0</v>
      </c>
      <c r="F523" s="2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7">
        <v>45893.979525462964</v>
      </c>
      <c r="B524" s="8" t="s">
        <v>1260</v>
      </c>
      <c r="C524" s="1" t="s">
        <v>36</v>
      </c>
      <c r="D524" s="1" t="s">
        <v>11</v>
      </c>
      <c r="E524" s="9">
        <v>45894.0</v>
      </c>
      <c r="F524" s="2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7">
        <v>45893.974340277775</v>
      </c>
      <c r="B525" s="8" t="s">
        <v>1261</v>
      </c>
      <c r="C525" s="1" t="s">
        <v>15</v>
      </c>
      <c r="D525" s="1" t="s">
        <v>11</v>
      </c>
      <c r="E525" s="9">
        <v>45894.0</v>
      </c>
      <c r="F525" s="2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7">
        <v>45893.97329861111</v>
      </c>
      <c r="B526" s="8" t="s">
        <v>1265</v>
      </c>
      <c r="C526" s="1" t="s">
        <v>36</v>
      </c>
      <c r="D526" s="1" t="s">
        <v>11</v>
      </c>
      <c r="E526" s="9">
        <v>45894.0</v>
      </c>
      <c r="F526" s="2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7">
        <v>45893.95773148148</v>
      </c>
      <c r="B527" s="8" t="s">
        <v>1268</v>
      </c>
      <c r="C527" s="1" t="s">
        <v>24</v>
      </c>
      <c r="D527" s="1" t="s">
        <v>11</v>
      </c>
      <c r="E527" s="9">
        <v>45893.0</v>
      </c>
      <c r="F527" s="2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7">
        <v>45893.95631944444</v>
      </c>
      <c r="B528" s="8" t="s">
        <v>1270</v>
      </c>
      <c r="C528" s="1" t="s">
        <v>36</v>
      </c>
      <c r="D528" s="1" t="s">
        <v>11</v>
      </c>
      <c r="E528" s="9">
        <v>45893.0</v>
      </c>
      <c r="F528" s="2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7">
        <v>45893.94150462963</v>
      </c>
      <c r="B529" s="8" t="s">
        <v>1273</v>
      </c>
      <c r="C529" s="1" t="s">
        <v>36</v>
      </c>
      <c r="D529" s="1" t="s">
        <v>11</v>
      </c>
      <c r="E529" s="9">
        <v>45893.0</v>
      </c>
      <c r="F529" s="2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7">
        <v>45893.902650462966</v>
      </c>
      <c r="B530" s="8" t="s">
        <v>1274</v>
      </c>
      <c r="C530" s="1" t="s">
        <v>24</v>
      </c>
      <c r="D530" s="1" t="s">
        <v>1127</v>
      </c>
      <c r="E530" s="9">
        <v>45939.0</v>
      </c>
      <c r="F530" s="2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7">
        <v>45893.9</v>
      </c>
      <c r="B531" s="8" t="s">
        <v>1276</v>
      </c>
      <c r="C531" s="1" t="s">
        <v>24</v>
      </c>
      <c r="D531" s="1" t="s">
        <v>1127</v>
      </c>
      <c r="E531" s="9">
        <v>45939.0</v>
      </c>
      <c r="F531" s="2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7">
        <v>45893.89677083334</v>
      </c>
      <c r="B532" s="8" t="s">
        <v>1277</v>
      </c>
      <c r="C532" s="1" t="s">
        <v>24</v>
      </c>
      <c r="D532" s="1" t="s">
        <v>1127</v>
      </c>
      <c r="E532" s="9">
        <v>45939.0</v>
      </c>
      <c r="F532" s="2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7">
        <v>45893.89465277778</v>
      </c>
      <c r="B533" s="8" t="s">
        <v>1278</v>
      </c>
      <c r="C533" s="1" t="s">
        <v>24</v>
      </c>
      <c r="D533" s="1" t="s">
        <v>1127</v>
      </c>
      <c r="E533" s="9">
        <v>45939.0</v>
      </c>
      <c r="F533" s="2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7">
        <v>45893.88978009259</v>
      </c>
      <c r="B534" s="8" t="s">
        <v>1280</v>
      </c>
      <c r="C534" s="1" t="s">
        <v>15</v>
      </c>
      <c r="D534" s="1" t="s">
        <v>11</v>
      </c>
      <c r="E534" s="9">
        <v>45893.0</v>
      </c>
      <c r="F534" s="2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7">
        <v>45893.85395833333</v>
      </c>
      <c r="B535" s="8" t="s">
        <v>1281</v>
      </c>
      <c r="C535" s="1" t="s">
        <v>73</v>
      </c>
      <c r="D535" s="1" t="s">
        <v>11</v>
      </c>
      <c r="E535" s="9">
        <v>45893.0</v>
      </c>
      <c r="F535" s="2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7">
        <v>45893.852858796294</v>
      </c>
      <c r="B536" s="8" t="s">
        <v>1282</v>
      </c>
      <c r="C536" s="1" t="s">
        <v>73</v>
      </c>
      <c r="D536" s="1" t="s">
        <v>11</v>
      </c>
      <c r="E536" s="9">
        <v>45893.0</v>
      </c>
      <c r="F536" s="2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7">
        <v>45891.51173611111</v>
      </c>
      <c r="B537" s="8" t="s">
        <v>1284</v>
      </c>
      <c r="C537" s="1" t="s">
        <v>24</v>
      </c>
      <c r="D537" s="1" t="s">
        <v>11</v>
      </c>
      <c r="E537" s="9">
        <v>45891.0</v>
      </c>
      <c r="F537" s="2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7">
        <v>45891.50430555556</v>
      </c>
      <c r="B538" s="8" t="s">
        <v>1286</v>
      </c>
      <c r="C538" s="1" t="s">
        <v>24</v>
      </c>
      <c r="D538" s="1" t="s">
        <v>11</v>
      </c>
      <c r="E538" s="9">
        <v>45891.0</v>
      </c>
      <c r="F538" s="2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7">
        <v>45886.839641203704</v>
      </c>
      <c r="B539" s="8" t="s">
        <v>1289</v>
      </c>
      <c r="C539" s="1" t="s">
        <v>36</v>
      </c>
      <c r="D539" s="1" t="s">
        <v>11</v>
      </c>
      <c r="E539" s="9">
        <v>45886.0</v>
      </c>
      <c r="F539" s="2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7">
        <v>45886.825324074074</v>
      </c>
      <c r="B540" s="8" t="s">
        <v>1292</v>
      </c>
      <c r="C540" s="1" t="s">
        <v>24</v>
      </c>
      <c r="D540" s="1" t="s">
        <v>11</v>
      </c>
      <c r="E540" s="9">
        <v>45886.0</v>
      </c>
      <c r="F540" s="2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7">
        <v>45886.797002314815</v>
      </c>
      <c r="B541" s="8" t="s">
        <v>1293</v>
      </c>
      <c r="C541" s="1" t="s">
        <v>36</v>
      </c>
      <c r="D541" s="1" t="s">
        <v>11</v>
      </c>
      <c r="E541" s="9">
        <v>45886.0</v>
      </c>
      <c r="F541" s="2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7">
        <v>45882.871203703704</v>
      </c>
      <c r="B542" s="8" t="s">
        <v>1296</v>
      </c>
      <c r="C542" s="1" t="s">
        <v>24</v>
      </c>
      <c r="D542" s="1" t="s">
        <v>11</v>
      </c>
      <c r="E542" s="9">
        <v>45882.0</v>
      </c>
      <c r="F542" s="2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7">
        <v>45882.87096064815</v>
      </c>
      <c r="B543" s="8" t="s">
        <v>1299</v>
      </c>
      <c r="C543" s="1" t="s">
        <v>24</v>
      </c>
      <c r="D543" s="1" t="s">
        <v>11</v>
      </c>
      <c r="E543" s="9">
        <v>45882.0</v>
      </c>
      <c r="F543" s="2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7">
        <v>45882.87076388889</v>
      </c>
      <c r="B544" s="8" t="s">
        <v>1300</v>
      </c>
      <c r="C544" s="1" t="s">
        <v>24</v>
      </c>
      <c r="D544" s="1" t="s">
        <v>11</v>
      </c>
      <c r="E544" s="9">
        <v>45882.0</v>
      </c>
      <c r="F544" s="2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7">
        <v>45882.87012731482</v>
      </c>
      <c r="B545" s="8" t="s">
        <v>1302</v>
      </c>
      <c r="C545" s="1" t="s">
        <v>24</v>
      </c>
      <c r="D545" s="1" t="s">
        <v>11</v>
      </c>
      <c r="E545" s="9">
        <v>45882.0</v>
      </c>
      <c r="F545" s="2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7">
        <v>45882.869375</v>
      </c>
      <c r="B546" s="8" t="s">
        <v>1303</v>
      </c>
      <c r="C546" s="1" t="s">
        <v>24</v>
      </c>
      <c r="D546" s="1" t="s">
        <v>11</v>
      </c>
      <c r="E546" s="9">
        <v>45882.0</v>
      </c>
      <c r="F546" s="2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7">
        <v>45879.47340277778</v>
      </c>
      <c r="B547" s="8" t="s">
        <v>1304</v>
      </c>
      <c r="C547" s="1" t="s">
        <v>10</v>
      </c>
      <c r="D547" s="1" t="s">
        <v>11</v>
      </c>
      <c r="E547" s="9">
        <v>45880.0</v>
      </c>
      <c r="F547" s="2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7">
        <v>45879.466678240744</v>
      </c>
      <c r="B548" s="8" t="s">
        <v>1306</v>
      </c>
      <c r="C548" s="1" t="s">
        <v>36</v>
      </c>
      <c r="D548" s="1" t="s">
        <v>11</v>
      </c>
      <c r="E548" s="9">
        <v>45880.0</v>
      </c>
      <c r="F548" s="2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7">
        <v>45879.46158564815</v>
      </c>
      <c r="B549" s="8" t="s">
        <v>1309</v>
      </c>
      <c r="C549" s="1" t="s">
        <v>36</v>
      </c>
      <c r="D549" s="1" t="s">
        <v>11</v>
      </c>
      <c r="E549" s="9">
        <v>45880.0</v>
      </c>
      <c r="F549" s="2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7">
        <v>45876.98788194444</v>
      </c>
      <c r="B550" s="8" t="s">
        <v>1310</v>
      </c>
      <c r="C550" s="1" t="s">
        <v>73</v>
      </c>
      <c r="D550" s="1" t="s">
        <v>11</v>
      </c>
      <c r="E550" s="9">
        <v>45877.0</v>
      </c>
      <c r="F550" s="2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7">
        <v>45876.98486111111</v>
      </c>
      <c r="B551" s="8" t="s">
        <v>1312</v>
      </c>
      <c r="C551" s="1" t="s">
        <v>24</v>
      </c>
      <c r="D551" s="1" t="s">
        <v>11</v>
      </c>
      <c r="E551" s="9">
        <v>45877.0</v>
      </c>
      <c r="F551" s="2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7">
        <v>45876.98028935185</v>
      </c>
      <c r="B552" s="8" t="s">
        <v>1314</v>
      </c>
      <c r="C552" s="1" t="s">
        <v>24</v>
      </c>
      <c r="D552" s="1" t="s">
        <v>11</v>
      </c>
      <c r="E552" s="9">
        <v>45877.0</v>
      </c>
      <c r="F552" s="2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7">
        <v>45876.97813657407</v>
      </c>
      <c r="B553" s="8" t="s">
        <v>1317</v>
      </c>
      <c r="C553" s="1" t="s">
        <v>10</v>
      </c>
      <c r="D553" s="1" t="s">
        <v>11</v>
      </c>
      <c r="E553" s="9">
        <v>45877.0</v>
      </c>
      <c r="F553" s="2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7">
        <v>45870.243483796294</v>
      </c>
      <c r="B554" s="8" t="s">
        <v>1318</v>
      </c>
      <c r="C554" s="1" t="s">
        <v>19</v>
      </c>
      <c r="D554" s="1" t="s">
        <v>11</v>
      </c>
      <c r="E554" s="9">
        <v>45870.0</v>
      </c>
      <c r="F554" s="2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7">
        <v>45869.49916666667</v>
      </c>
      <c r="B555" s="8" t="s">
        <v>1321</v>
      </c>
      <c r="C555" s="1" t="s">
        <v>24</v>
      </c>
      <c r="D555" s="1" t="s">
        <v>11</v>
      </c>
      <c r="E555" s="9">
        <v>45869.0</v>
      </c>
      <c r="F555" s="2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7">
        <v>45869.494039351855</v>
      </c>
      <c r="B556" s="8" t="s">
        <v>1324</v>
      </c>
      <c r="C556" s="1" t="s">
        <v>36</v>
      </c>
      <c r="D556" s="1" t="s">
        <v>11</v>
      </c>
      <c r="E556" s="9">
        <v>45869.0</v>
      </c>
      <c r="F556" s="2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7">
        <v>45869.48605324074</v>
      </c>
      <c r="B557" s="8" t="s">
        <v>1327</v>
      </c>
      <c r="C557" s="1" t="s">
        <v>24</v>
      </c>
      <c r="D557" s="1" t="s">
        <v>11</v>
      </c>
      <c r="E557" s="9">
        <v>45869.0</v>
      </c>
      <c r="F557" s="2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7">
        <v>45869.47703703704</v>
      </c>
      <c r="B558" s="8" t="s">
        <v>1330</v>
      </c>
      <c r="C558" s="1" t="s">
        <v>24</v>
      </c>
      <c r="D558" s="1" t="s">
        <v>11</v>
      </c>
      <c r="E558" s="9">
        <v>45869.0</v>
      </c>
      <c r="F558" s="2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7">
        <v>45869.47568287037</v>
      </c>
      <c r="B559" s="8" t="s">
        <v>1331</v>
      </c>
      <c r="C559" s="1" t="s">
        <v>24</v>
      </c>
      <c r="D559" s="1" t="s">
        <v>11</v>
      </c>
      <c r="E559" s="9">
        <v>45869.0</v>
      </c>
      <c r="F559" s="2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7">
        <v>45869.47384259259</v>
      </c>
      <c r="B560" s="8" t="s">
        <v>1333</v>
      </c>
      <c r="C560" s="1" t="s">
        <v>24</v>
      </c>
      <c r="D560" s="1" t="s">
        <v>11</v>
      </c>
      <c r="E560" s="9">
        <v>45869.0</v>
      </c>
      <c r="F560" s="2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7">
        <v>45869.459016203706</v>
      </c>
      <c r="B561" s="8" t="s">
        <v>1336</v>
      </c>
      <c r="C561" s="1" t="s">
        <v>215</v>
      </c>
      <c r="D561" s="1" t="s">
        <v>11</v>
      </c>
      <c r="E561" s="9">
        <v>45869.0</v>
      </c>
      <c r="F561" s="2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7">
        <v>45869.44719907407</v>
      </c>
      <c r="B562" s="8" t="s">
        <v>1338</v>
      </c>
      <c r="C562" s="1" t="s">
        <v>36</v>
      </c>
      <c r="D562" s="1" t="s">
        <v>11</v>
      </c>
      <c r="E562" s="9">
        <v>45869.0</v>
      </c>
      <c r="F562" s="2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7">
        <v>45869.356944444444</v>
      </c>
      <c r="B563" s="8" t="s">
        <v>1340</v>
      </c>
      <c r="C563" s="1" t="s">
        <v>24</v>
      </c>
      <c r="D563" s="1" t="s">
        <v>11</v>
      </c>
      <c r="E563" s="9">
        <v>45869.0</v>
      </c>
      <c r="F563" s="2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7">
        <v>45864.442083333335</v>
      </c>
      <c r="B564" s="8" t="s">
        <v>1343</v>
      </c>
      <c r="C564" s="1" t="s">
        <v>24</v>
      </c>
      <c r="D564" s="1" t="s">
        <v>11</v>
      </c>
      <c r="E564" s="9">
        <v>45864.0</v>
      </c>
      <c r="F564" s="2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7">
        <v>45864.43599537037</v>
      </c>
      <c r="B565" s="8" t="s">
        <v>1346</v>
      </c>
      <c r="C565" s="1" t="s">
        <v>36</v>
      </c>
      <c r="D565" s="1" t="s">
        <v>11</v>
      </c>
      <c r="E565" s="9">
        <v>45864.0</v>
      </c>
      <c r="F565" s="2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7">
        <v>45864.41688657407</v>
      </c>
      <c r="B566" s="8" t="s">
        <v>1347</v>
      </c>
      <c r="C566" s="1" t="s">
        <v>10</v>
      </c>
      <c r="D566" s="1" t="s">
        <v>11</v>
      </c>
      <c r="E566" s="9">
        <v>45864.0</v>
      </c>
      <c r="F566" s="2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7">
        <v>45864.41222222222</v>
      </c>
      <c r="B567" s="8" t="s">
        <v>1350</v>
      </c>
      <c r="C567" s="1" t="s">
        <v>24</v>
      </c>
      <c r="D567" s="1" t="s">
        <v>11</v>
      </c>
      <c r="E567" s="9">
        <v>45864.0</v>
      </c>
      <c r="F567" s="2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7">
        <v>45864.378217592595</v>
      </c>
      <c r="B568" s="8" t="s">
        <v>1351</v>
      </c>
      <c r="C568" s="1" t="s">
        <v>15</v>
      </c>
      <c r="D568" s="1" t="s">
        <v>11</v>
      </c>
      <c r="E568" s="9">
        <v>45864.0</v>
      </c>
      <c r="F568" s="2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7">
        <v>45864.37453703704</v>
      </c>
      <c r="B569" s="8" t="s">
        <v>1353</v>
      </c>
      <c r="C569" s="1" t="s">
        <v>24</v>
      </c>
      <c r="D569" s="1" t="s">
        <v>11</v>
      </c>
      <c r="E569" s="9">
        <v>45864.0</v>
      </c>
      <c r="F569" s="2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7">
        <v>45864.37315972222</v>
      </c>
      <c r="B570" s="8" t="s">
        <v>1354</v>
      </c>
      <c r="C570" s="1" t="s">
        <v>24</v>
      </c>
      <c r="D570" s="1" t="s">
        <v>11</v>
      </c>
      <c r="E570" s="9">
        <v>45864.0</v>
      </c>
      <c r="F570" s="2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7">
        <v>45864.37159722222</v>
      </c>
      <c r="B571" s="8" t="s">
        <v>1356</v>
      </c>
      <c r="C571" s="1" t="s">
        <v>24</v>
      </c>
      <c r="D571" s="1" t="s">
        <v>11</v>
      </c>
      <c r="E571" s="9">
        <v>45864.0</v>
      </c>
      <c r="F571" s="2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7">
        <v>45864.32795138889</v>
      </c>
      <c r="B572" s="8" t="s">
        <v>1357</v>
      </c>
      <c r="C572" s="1" t="s">
        <v>24</v>
      </c>
      <c r="D572" s="1" t="s">
        <v>11</v>
      </c>
      <c r="E572" s="9">
        <v>45864.0</v>
      </c>
      <c r="F572" s="2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7">
        <v>45862.61207175926</v>
      </c>
      <c r="B573" s="8" t="s">
        <v>1359</v>
      </c>
      <c r="C573" s="1" t="s">
        <v>36</v>
      </c>
      <c r="D573" s="1" t="s">
        <v>11</v>
      </c>
      <c r="E573" s="9">
        <v>45862.0</v>
      </c>
      <c r="F573" s="2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7">
        <v>45857.516921296294</v>
      </c>
      <c r="B574" s="8" t="s">
        <v>1361</v>
      </c>
      <c r="C574" s="1" t="s">
        <v>24</v>
      </c>
      <c r="D574" s="1" t="s">
        <v>11</v>
      </c>
      <c r="E574" s="9">
        <v>45857.0</v>
      </c>
      <c r="F574" s="2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7">
        <v>45857.51513888889</v>
      </c>
      <c r="B575" s="8" t="s">
        <v>1363</v>
      </c>
      <c r="C575" s="1" t="s">
        <v>36</v>
      </c>
      <c r="D575" s="1" t="s">
        <v>11</v>
      </c>
      <c r="E575" s="9">
        <v>45857.0</v>
      </c>
      <c r="F575" s="2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7">
        <v>45849.32511574074</v>
      </c>
      <c r="B576" s="8" t="s">
        <v>1366</v>
      </c>
      <c r="C576" s="1" t="s">
        <v>36</v>
      </c>
      <c r="D576" s="1" t="s">
        <v>11</v>
      </c>
      <c r="E576" s="9">
        <v>45849.0</v>
      </c>
      <c r="F576" s="2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7">
        <v>45847.49260416667</v>
      </c>
      <c r="B577" s="8" t="s">
        <v>1367</v>
      </c>
      <c r="C577" s="1" t="s">
        <v>24</v>
      </c>
      <c r="D577" s="1" t="s">
        <v>11</v>
      </c>
      <c r="E577" s="9">
        <v>45847.0</v>
      </c>
      <c r="F577" s="2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7">
        <v>45847.343043981484</v>
      </c>
      <c r="B578" s="8" t="s">
        <v>1369</v>
      </c>
      <c r="C578" s="1" t="s">
        <v>24</v>
      </c>
      <c r="D578" s="1" t="s">
        <v>11</v>
      </c>
      <c r="E578" s="9">
        <v>45847.0</v>
      </c>
      <c r="F578" s="2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7">
        <v>45847.336168981485</v>
      </c>
      <c r="B579" s="8" t="s">
        <v>1372</v>
      </c>
      <c r="C579" s="1" t="s">
        <v>36</v>
      </c>
      <c r="D579" s="1" t="s">
        <v>11</v>
      </c>
      <c r="E579" s="9">
        <v>45847.0</v>
      </c>
      <c r="F579" s="2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7">
        <v>45845.41354166667</v>
      </c>
      <c r="B580" s="8" t="s">
        <v>1374</v>
      </c>
      <c r="C580" s="1" t="s">
        <v>36</v>
      </c>
      <c r="D580" s="1" t="s">
        <v>11</v>
      </c>
      <c r="E580" s="9">
        <v>45845.0</v>
      </c>
      <c r="F580" s="2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7">
        <v>45845.396527777775</v>
      </c>
      <c r="B581" s="8" t="s">
        <v>1376</v>
      </c>
      <c r="C581" s="1" t="s">
        <v>36</v>
      </c>
      <c r="D581" s="1" t="s">
        <v>11</v>
      </c>
      <c r="E581" s="9">
        <v>45845.0</v>
      </c>
      <c r="F581" s="2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7">
        <v>45844.935219907406</v>
      </c>
      <c r="B582" s="8" t="s">
        <v>1379</v>
      </c>
      <c r="C582" s="1" t="s">
        <v>15</v>
      </c>
      <c r="D582" s="1" t="s">
        <v>11</v>
      </c>
      <c r="E582" s="9">
        <v>45845.0</v>
      </c>
      <c r="F582" s="2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7">
        <v>45844.93133101852</v>
      </c>
      <c r="B583" s="8" t="s">
        <v>1382</v>
      </c>
      <c r="C583" s="1" t="s">
        <v>15</v>
      </c>
      <c r="D583" s="1" t="s">
        <v>11</v>
      </c>
      <c r="E583" s="9">
        <v>45845.0</v>
      </c>
      <c r="F583" s="2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7">
        <v>45844.92896990741</v>
      </c>
      <c r="B584" s="8" t="s">
        <v>1383</v>
      </c>
      <c r="C584" s="1" t="s">
        <v>36</v>
      </c>
      <c r="D584" s="1" t="s">
        <v>11</v>
      </c>
      <c r="E584" s="9">
        <v>45845.0</v>
      </c>
      <c r="F584" s="2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7">
        <v>45844.92321759259</v>
      </c>
      <c r="B585" s="8" t="s">
        <v>1385</v>
      </c>
      <c r="C585" s="1" t="s">
        <v>24</v>
      </c>
      <c r="D585" s="1" t="s">
        <v>11</v>
      </c>
      <c r="E585" s="9">
        <v>45845.0</v>
      </c>
      <c r="F585" s="2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7">
        <v>45844.91855324074</v>
      </c>
      <c r="B586" s="8" t="s">
        <v>1389</v>
      </c>
      <c r="C586" s="1" t="s">
        <v>36</v>
      </c>
      <c r="D586" s="1" t="s">
        <v>11</v>
      </c>
      <c r="E586" s="9">
        <v>45845.0</v>
      </c>
      <c r="F586" s="2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7">
        <v>45844.91287037037</v>
      </c>
      <c r="B587" s="8" t="s">
        <v>1391</v>
      </c>
      <c r="C587" s="1" t="s">
        <v>24</v>
      </c>
      <c r="D587" s="1" t="s">
        <v>11</v>
      </c>
      <c r="E587" s="9">
        <v>45845.0</v>
      </c>
      <c r="F587" s="2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7">
        <v>45844.91086805556</v>
      </c>
      <c r="B588" s="8" t="s">
        <v>1394</v>
      </c>
      <c r="C588" s="1" t="s">
        <v>24</v>
      </c>
      <c r="D588" s="1" t="s">
        <v>11</v>
      </c>
      <c r="E588" s="9">
        <v>45845.0</v>
      </c>
      <c r="F588" s="2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7">
        <v>45844.90859953704</v>
      </c>
      <c r="B589" s="8" t="s">
        <v>1395</v>
      </c>
      <c r="C589" s="1" t="s">
        <v>36</v>
      </c>
      <c r="D589" s="1" t="s">
        <v>11</v>
      </c>
      <c r="E589" s="9">
        <v>45845.0</v>
      </c>
      <c r="F589" s="2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7">
        <v>45844.86877314815</v>
      </c>
      <c r="B590" s="8" t="s">
        <v>1398</v>
      </c>
      <c r="C590" s="1" t="s">
        <v>24</v>
      </c>
      <c r="D590" s="1" t="s">
        <v>11</v>
      </c>
      <c r="E590" s="9">
        <v>45845.0</v>
      </c>
      <c r="F590" s="2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7">
        <v>45844.86053240741</v>
      </c>
      <c r="B591" s="8" t="s">
        <v>1399</v>
      </c>
      <c r="C591" s="1" t="s">
        <v>36</v>
      </c>
      <c r="D591" s="1" t="s">
        <v>11</v>
      </c>
      <c r="E591" s="9">
        <v>45845.0</v>
      </c>
      <c r="F591" s="2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7">
        <v>45844.84412037037</v>
      </c>
      <c r="B592" s="8" t="s">
        <v>1402</v>
      </c>
      <c r="C592" s="1" t="s">
        <v>24</v>
      </c>
      <c r="D592" s="1" t="s">
        <v>11</v>
      </c>
      <c r="E592" s="9">
        <v>45845.0</v>
      </c>
      <c r="F592" s="2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7">
        <v>45844.84059027778</v>
      </c>
      <c r="B593" s="8" t="s">
        <v>1406</v>
      </c>
      <c r="C593" s="1" t="s">
        <v>36</v>
      </c>
      <c r="D593" s="1" t="s">
        <v>11</v>
      </c>
      <c r="E593" s="9">
        <v>45845.0</v>
      </c>
      <c r="F593" s="2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7">
        <v>45844.82506944444</v>
      </c>
      <c r="B594" s="8" t="s">
        <v>1409</v>
      </c>
      <c r="C594" s="1" t="s">
        <v>36</v>
      </c>
      <c r="D594" s="1" t="s">
        <v>11</v>
      </c>
      <c r="E594" s="9">
        <v>45845.0</v>
      </c>
      <c r="F594" s="2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7">
        <v>45832.41119212963</v>
      </c>
      <c r="B595" s="8" t="s">
        <v>1413</v>
      </c>
      <c r="C595" s="1" t="s">
        <v>36</v>
      </c>
      <c r="D595" s="1" t="s">
        <v>11</v>
      </c>
      <c r="E595" s="9">
        <v>45832.0</v>
      </c>
      <c r="F595" s="2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7">
        <v>45832.38475694445</v>
      </c>
      <c r="B596" s="8" t="s">
        <v>1414</v>
      </c>
      <c r="C596" s="1" t="s">
        <v>36</v>
      </c>
      <c r="D596" s="1" t="s">
        <v>11</v>
      </c>
      <c r="E596" s="9">
        <v>45832.0</v>
      </c>
      <c r="F596" s="2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7">
        <v>45823.35612268518</v>
      </c>
      <c r="B597" s="8" t="s">
        <v>1417</v>
      </c>
      <c r="C597" s="1" t="s">
        <v>36</v>
      </c>
      <c r="D597" s="1" t="s">
        <v>11</v>
      </c>
      <c r="E597" s="9">
        <v>45824.0</v>
      </c>
      <c r="F597" s="2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7">
        <v>45821.54472222222</v>
      </c>
      <c r="B598" s="8" t="s">
        <v>1420</v>
      </c>
      <c r="C598" s="1" t="s">
        <v>15</v>
      </c>
      <c r="D598" s="1" t="s">
        <v>11</v>
      </c>
      <c r="E598" s="9">
        <v>45821.0</v>
      </c>
      <c r="F598" s="2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7">
        <v>45820.67663194444</v>
      </c>
      <c r="B599" s="8" t="s">
        <v>1424</v>
      </c>
      <c r="C599" s="1" t="s">
        <v>24</v>
      </c>
      <c r="D599" s="1" t="s">
        <v>11</v>
      </c>
      <c r="E599" s="9">
        <v>45820.0</v>
      </c>
      <c r="F599" s="2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7">
        <v>45820.660474537035</v>
      </c>
      <c r="B600" s="8" t="s">
        <v>1428</v>
      </c>
      <c r="C600" s="1" t="s">
        <v>24</v>
      </c>
      <c r="D600" s="1" t="s">
        <v>11</v>
      </c>
      <c r="E600" s="9">
        <v>45820.0</v>
      </c>
      <c r="F600" s="2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7">
        <v>45820.65844907407</v>
      </c>
      <c r="B601" s="8" t="s">
        <v>1430</v>
      </c>
      <c r="C601" s="1" t="s">
        <v>215</v>
      </c>
      <c r="D601" s="1" t="s">
        <v>11</v>
      </c>
      <c r="E601" s="9">
        <v>45820.0</v>
      </c>
      <c r="F601" s="2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7">
        <v>45817.411041666666</v>
      </c>
      <c r="B602" s="8" t="s">
        <v>1431</v>
      </c>
      <c r="C602" s="1" t="s">
        <v>215</v>
      </c>
      <c r="D602" s="1" t="s">
        <v>11</v>
      </c>
      <c r="E602" s="9">
        <v>45817.0</v>
      </c>
      <c r="F602" s="2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7">
        <v>45817.403078703705</v>
      </c>
      <c r="B603" s="8" t="s">
        <v>1435</v>
      </c>
      <c r="C603" s="1" t="s">
        <v>215</v>
      </c>
      <c r="D603" s="1" t="s">
        <v>11</v>
      </c>
      <c r="E603" s="9">
        <v>45817.0</v>
      </c>
      <c r="F603" s="2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7">
        <v>45817.297418981485</v>
      </c>
      <c r="B604" s="8" t="s">
        <v>1438</v>
      </c>
      <c r="C604" s="1" t="s">
        <v>10</v>
      </c>
      <c r="D604" s="1" t="s">
        <v>11</v>
      </c>
      <c r="E604" s="9">
        <v>45817.0</v>
      </c>
      <c r="F604" s="2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7">
        <v>45816.32313657407</v>
      </c>
      <c r="B605" s="8" t="s">
        <v>1439</v>
      </c>
      <c r="C605" s="1" t="s">
        <v>24</v>
      </c>
      <c r="D605" s="1" t="s">
        <v>11</v>
      </c>
      <c r="E605" s="9">
        <v>45815.0</v>
      </c>
      <c r="F605" s="2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7">
        <v>45816.31921296296</v>
      </c>
      <c r="B606" s="8" t="s">
        <v>1442</v>
      </c>
      <c r="C606" s="1" t="s">
        <v>215</v>
      </c>
      <c r="D606" s="1" t="s">
        <v>11</v>
      </c>
      <c r="E606" s="9">
        <v>45815.0</v>
      </c>
      <c r="F606" s="2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7">
        <v>45816.310381944444</v>
      </c>
      <c r="B607" s="8" t="s">
        <v>1444</v>
      </c>
      <c r="C607" s="1" t="s">
        <v>215</v>
      </c>
      <c r="D607" s="1" t="s">
        <v>11</v>
      </c>
      <c r="E607" s="9">
        <v>45815.0</v>
      </c>
      <c r="F607" s="2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7">
        <v>45816.29686342592</v>
      </c>
      <c r="B608" s="8" t="s">
        <v>1445</v>
      </c>
      <c r="C608" s="1" t="s">
        <v>24</v>
      </c>
      <c r="D608" s="1" t="s">
        <v>11</v>
      </c>
      <c r="E608" s="9">
        <v>45816.0</v>
      </c>
      <c r="F608" s="2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7">
        <v>45816.29479166667</v>
      </c>
      <c r="B609" s="8" t="s">
        <v>1447</v>
      </c>
      <c r="C609" s="1" t="s">
        <v>10</v>
      </c>
      <c r="D609" s="1" t="s">
        <v>11</v>
      </c>
      <c r="E609" s="9">
        <v>45816.0</v>
      </c>
      <c r="F609" s="2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7">
        <v>45816.29324074074</v>
      </c>
      <c r="B610" s="8" t="s">
        <v>1449</v>
      </c>
      <c r="C610" s="1" t="s">
        <v>15</v>
      </c>
      <c r="D610" s="1" t="s">
        <v>11</v>
      </c>
      <c r="E610" s="9">
        <v>45816.0</v>
      </c>
      <c r="F610" s="2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7">
        <v>45807.273043981484</v>
      </c>
      <c r="B611" s="8" t="s">
        <v>1450</v>
      </c>
      <c r="C611" s="1" t="s">
        <v>245</v>
      </c>
      <c r="D611" s="1" t="s">
        <v>11</v>
      </c>
      <c r="E611" s="9">
        <v>45807.0</v>
      </c>
      <c r="F611" s="2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7">
        <v>45806.75537037037</v>
      </c>
      <c r="B612" s="8" t="s">
        <v>1453</v>
      </c>
      <c r="C612" s="1" t="s">
        <v>36</v>
      </c>
      <c r="D612" s="1" t="s">
        <v>11</v>
      </c>
      <c r="E612" s="9">
        <v>45806.0</v>
      </c>
      <c r="F612" s="2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7">
        <v>45804.45175925926</v>
      </c>
      <c r="B613" s="8" t="s">
        <v>1456</v>
      </c>
      <c r="C613" s="1" t="s">
        <v>36</v>
      </c>
      <c r="D613" s="1" t="s">
        <v>11</v>
      </c>
      <c r="E613" s="9">
        <v>45804.0</v>
      </c>
      <c r="F613" s="2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7">
        <v>45800.31167824074</v>
      </c>
      <c r="B614" s="8" t="s">
        <v>1458</v>
      </c>
      <c r="C614" s="1" t="s">
        <v>24</v>
      </c>
      <c r="D614" s="1" t="s">
        <v>11</v>
      </c>
      <c r="E614" s="9">
        <v>45800.0</v>
      </c>
      <c r="F614" s="2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7">
        <v>45796.36399305556</v>
      </c>
      <c r="B615" s="8" t="s">
        <v>1460</v>
      </c>
      <c r="C615" s="1" t="s">
        <v>19</v>
      </c>
      <c r="D615" s="1" t="s">
        <v>11</v>
      </c>
      <c r="E615" s="9">
        <v>45796.0</v>
      </c>
      <c r="F615" s="2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7">
        <v>45796.35803240741</v>
      </c>
      <c r="B616" s="8" t="s">
        <v>1461</v>
      </c>
      <c r="C616" s="1" t="s">
        <v>15</v>
      </c>
      <c r="D616" s="1" t="s">
        <v>11</v>
      </c>
      <c r="E616" s="9">
        <v>45796.0</v>
      </c>
      <c r="F616" s="2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7">
        <v>45796.34510416666</v>
      </c>
      <c r="B617" s="8" t="s">
        <v>1464</v>
      </c>
      <c r="C617" s="1" t="s">
        <v>24</v>
      </c>
      <c r="D617" s="1" t="s">
        <v>11</v>
      </c>
      <c r="E617" s="9">
        <v>45796.0</v>
      </c>
      <c r="F617" s="2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7">
        <v>45793.483622685184</v>
      </c>
      <c r="B618" s="8" t="s">
        <v>1467</v>
      </c>
      <c r="C618" s="1" t="s">
        <v>15</v>
      </c>
      <c r="D618" s="1" t="s">
        <v>11</v>
      </c>
      <c r="E618" s="9">
        <v>45793.0</v>
      </c>
      <c r="F618" s="2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7">
        <v>45793.48094907407</v>
      </c>
      <c r="B619" s="8" t="s">
        <v>1468</v>
      </c>
      <c r="C619" s="1" t="s">
        <v>73</v>
      </c>
      <c r="D619" s="1" t="s">
        <v>11</v>
      </c>
      <c r="E619" s="9">
        <v>45793.0</v>
      </c>
      <c r="F619" s="2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7">
        <v>45793.47829861111</v>
      </c>
      <c r="B620" s="8" t="s">
        <v>1471</v>
      </c>
      <c r="C620" s="1" t="s">
        <v>10</v>
      </c>
      <c r="D620" s="1" t="s">
        <v>11</v>
      </c>
      <c r="E620" s="9">
        <v>45793.0</v>
      </c>
      <c r="F620" s="2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7">
        <v>45793.476377314815</v>
      </c>
      <c r="B621" s="8" t="s">
        <v>1472</v>
      </c>
      <c r="C621" s="1" t="s">
        <v>24</v>
      </c>
      <c r="D621" s="1" t="s">
        <v>11</v>
      </c>
      <c r="E621" s="9">
        <v>45793.0</v>
      </c>
      <c r="F621" s="2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7">
        <v>45793.47170138889</v>
      </c>
      <c r="B622" s="8" t="s">
        <v>1475</v>
      </c>
      <c r="C622" s="1" t="s">
        <v>24</v>
      </c>
      <c r="D622" s="1" t="s">
        <v>11</v>
      </c>
      <c r="E622" s="9">
        <v>45793.0</v>
      </c>
      <c r="F622" s="2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7">
        <v>45793.469930555555</v>
      </c>
      <c r="B623" s="8" t="s">
        <v>1476</v>
      </c>
      <c r="C623" s="1" t="s">
        <v>15</v>
      </c>
      <c r="D623" s="1" t="s">
        <v>11</v>
      </c>
      <c r="E623" s="9">
        <v>45793.0</v>
      </c>
      <c r="F623" s="2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7">
        <v>45793.46840277778</v>
      </c>
      <c r="B624" s="8" t="s">
        <v>1477</v>
      </c>
      <c r="C624" s="1" t="s">
        <v>10</v>
      </c>
      <c r="D624" s="1" t="s">
        <v>11</v>
      </c>
      <c r="E624" s="9">
        <v>45793.0</v>
      </c>
      <c r="F624" s="2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7">
        <v>45793.46543981481</v>
      </c>
      <c r="B625" s="8" t="s">
        <v>1480</v>
      </c>
      <c r="C625" s="1" t="s">
        <v>24</v>
      </c>
      <c r="D625" s="1" t="s">
        <v>11</v>
      </c>
      <c r="E625" s="9">
        <v>45793.0</v>
      </c>
      <c r="F625" s="2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7">
        <v>45793.46228009259</v>
      </c>
      <c r="B626" s="8" t="s">
        <v>1481</v>
      </c>
      <c r="C626" s="1" t="s">
        <v>15</v>
      </c>
      <c r="D626" s="1" t="s">
        <v>11</v>
      </c>
      <c r="E626" s="9">
        <v>45793.0</v>
      </c>
      <c r="F626" s="2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7">
        <v>45790.50855324074</v>
      </c>
      <c r="B627" s="8" t="s">
        <v>1484</v>
      </c>
      <c r="C627" s="1" t="s">
        <v>24</v>
      </c>
      <c r="D627" s="1" t="s">
        <v>11</v>
      </c>
      <c r="E627" s="9">
        <v>45790.0</v>
      </c>
      <c r="F627" s="2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7">
        <v>45790.50344907407</v>
      </c>
      <c r="B628" s="8" t="s">
        <v>1487</v>
      </c>
      <c r="C628" s="1" t="s">
        <v>36</v>
      </c>
      <c r="D628" s="1" t="s">
        <v>11</v>
      </c>
      <c r="E628" s="9">
        <v>45790.0</v>
      </c>
      <c r="F628" s="2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7">
        <v>45773.61545138889</v>
      </c>
      <c r="B629" s="8" t="s">
        <v>1488</v>
      </c>
      <c r="C629" s="1" t="s">
        <v>24</v>
      </c>
      <c r="D629" s="1" t="s">
        <v>11</v>
      </c>
      <c r="E629" s="9">
        <v>45773.0</v>
      </c>
      <c r="F629" s="2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7">
        <v>45773.46440972222</v>
      </c>
      <c r="B630" s="8" t="s">
        <v>1490</v>
      </c>
      <c r="C630" s="1" t="s">
        <v>24</v>
      </c>
      <c r="D630" s="1" t="s">
        <v>11</v>
      </c>
      <c r="E630" s="9">
        <v>45773.0</v>
      </c>
      <c r="F630" s="2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7">
        <v>45773.45924768518</v>
      </c>
      <c r="B631" s="8" t="s">
        <v>1491</v>
      </c>
      <c r="C631" s="1" t="s">
        <v>36</v>
      </c>
      <c r="D631" s="1" t="s">
        <v>11</v>
      </c>
      <c r="E631" s="9">
        <v>45773.0</v>
      </c>
      <c r="F631" s="2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7">
        <v>45773.31443287037</v>
      </c>
      <c r="B632" s="8" t="s">
        <v>1494</v>
      </c>
      <c r="C632" s="1" t="s">
        <v>10</v>
      </c>
      <c r="D632" s="1" t="s">
        <v>11</v>
      </c>
      <c r="E632" s="9">
        <v>45773.0</v>
      </c>
      <c r="F632" s="2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7">
        <v>45773.31234953704</v>
      </c>
      <c r="B633" s="8" t="s">
        <v>1497</v>
      </c>
      <c r="C633" s="1" t="s">
        <v>10</v>
      </c>
      <c r="D633" s="1" t="s">
        <v>11</v>
      </c>
      <c r="E633" s="9">
        <v>45773.0</v>
      </c>
      <c r="F633" s="2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7">
        <v>45770.508622685185</v>
      </c>
      <c r="B634" s="8" t="s">
        <v>1498</v>
      </c>
      <c r="C634" s="1" t="s">
        <v>24</v>
      </c>
      <c r="D634" s="1" t="s">
        <v>11</v>
      </c>
      <c r="E634" s="9">
        <v>45770.0</v>
      </c>
      <c r="F634" s="2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7">
        <v>45769.93258101852</v>
      </c>
      <c r="B635" s="8" t="s">
        <v>1499</v>
      </c>
      <c r="C635" s="1" t="s">
        <v>73</v>
      </c>
      <c r="D635" s="1" t="s">
        <v>11</v>
      </c>
      <c r="E635" s="9">
        <v>45769.0</v>
      </c>
      <c r="F635" s="2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7">
        <v>45769.9312037037</v>
      </c>
      <c r="B636" s="8" t="s">
        <v>1502</v>
      </c>
      <c r="C636" s="1" t="s">
        <v>15</v>
      </c>
      <c r="D636" s="1" t="s">
        <v>11</v>
      </c>
      <c r="E636" s="9">
        <v>45769.0</v>
      </c>
      <c r="F636" s="2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7">
        <v>45769.92851851852</v>
      </c>
      <c r="B637" s="8" t="s">
        <v>1503</v>
      </c>
      <c r="C637" s="1" t="s">
        <v>24</v>
      </c>
      <c r="D637" s="1" t="s">
        <v>11</v>
      </c>
      <c r="E637" s="9">
        <v>45769.0</v>
      </c>
      <c r="F637" s="2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7">
        <v>45769.925775462965</v>
      </c>
      <c r="B638" s="8" t="s">
        <v>1506</v>
      </c>
      <c r="C638" s="1" t="s">
        <v>36</v>
      </c>
      <c r="D638" s="1" t="s">
        <v>11</v>
      </c>
      <c r="E638" s="9">
        <v>45769.0</v>
      </c>
      <c r="F638" s="2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7">
        <v>45769.914293981485</v>
      </c>
      <c r="B639" s="8" t="s">
        <v>1507</v>
      </c>
      <c r="C639" s="1" t="s">
        <v>10</v>
      </c>
      <c r="D639" s="1" t="s">
        <v>11</v>
      </c>
      <c r="E639" s="9">
        <v>45769.0</v>
      </c>
      <c r="F639" s="2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7">
        <v>45769.9109375</v>
      </c>
      <c r="B640" s="8" t="s">
        <v>1509</v>
      </c>
      <c r="C640" s="1" t="s">
        <v>24</v>
      </c>
      <c r="D640" s="1" t="s">
        <v>11</v>
      </c>
      <c r="E640" s="9">
        <v>45769.0</v>
      </c>
      <c r="F640" s="2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7">
        <v>45769.904953703706</v>
      </c>
      <c r="B641" s="8" t="s">
        <v>1512</v>
      </c>
      <c r="C641" s="1" t="s">
        <v>24</v>
      </c>
      <c r="D641" s="1" t="s">
        <v>11</v>
      </c>
      <c r="E641" s="9">
        <v>45769.0</v>
      </c>
      <c r="F641" s="2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7">
        <v>45769.90288194444</v>
      </c>
      <c r="B642" s="8" t="s">
        <v>1515</v>
      </c>
      <c r="C642" s="1" t="s">
        <v>24</v>
      </c>
      <c r="D642" s="1" t="s">
        <v>11</v>
      </c>
      <c r="E642" s="9">
        <v>45769.0</v>
      </c>
      <c r="F642" s="2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7">
        <v>45769.89959490741</v>
      </c>
      <c r="B643" s="8" t="s">
        <v>1516</v>
      </c>
      <c r="C643" s="1" t="s">
        <v>15</v>
      </c>
      <c r="D643" s="1" t="s">
        <v>11</v>
      </c>
      <c r="E643" s="9">
        <v>45769.0</v>
      </c>
      <c r="F643" s="2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7">
        <v>45767.643599537034</v>
      </c>
      <c r="B644" s="8" t="s">
        <v>1518</v>
      </c>
      <c r="C644" s="1" t="s">
        <v>36</v>
      </c>
      <c r="D644" s="1" t="s">
        <v>11</v>
      </c>
      <c r="E644" s="9">
        <v>45767.0</v>
      </c>
      <c r="F644" s="2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7">
        <v>45767.63725694444</v>
      </c>
      <c r="B645" s="8" t="s">
        <v>1520</v>
      </c>
      <c r="C645" s="1" t="s">
        <v>36</v>
      </c>
      <c r="D645" s="1" t="s">
        <v>11</v>
      </c>
      <c r="E645" s="9">
        <v>45767.0</v>
      </c>
      <c r="F645" s="2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7">
        <v>45767.631736111114</v>
      </c>
      <c r="B646" s="8" t="s">
        <v>1521</v>
      </c>
      <c r="C646" s="1" t="s">
        <v>24</v>
      </c>
      <c r="D646" s="1" t="s">
        <v>11</v>
      </c>
      <c r="E646" s="9">
        <v>45767.0</v>
      </c>
      <c r="F646" s="2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7">
        <v>45767.62982638889</v>
      </c>
      <c r="B647" s="8" t="s">
        <v>1523</v>
      </c>
      <c r="C647" s="1" t="s">
        <v>10</v>
      </c>
      <c r="D647" s="1" t="s">
        <v>11</v>
      </c>
      <c r="E647" s="9">
        <v>45767.0</v>
      </c>
      <c r="F647" s="2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7">
        <v>45767.62637731482</v>
      </c>
      <c r="B648" s="8" t="s">
        <v>1524</v>
      </c>
      <c r="C648" s="1" t="s">
        <v>24</v>
      </c>
      <c r="D648" s="1" t="s">
        <v>11</v>
      </c>
      <c r="E648" s="9">
        <v>45767.0</v>
      </c>
      <c r="F648" s="2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7">
        <v>45756.37954861111</v>
      </c>
      <c r="B649" s="8" t="s">
        <v>1527</v>
      </c>
      <c r="C649" s="1" t="s">
        <v>10</v>
      </c>
      <c r="D649" s="1" t="s">
        <v>11</v>
      </c>
      <c r="E649" s="9">
        <v>45756.0</v>
      </c>
      <c r="F649" s="2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7">
        <v>45755.76237268518</v>
      </c>
      <c r="B650" s="8" t="s">
        <v>1529</v>
      </c>
      <c r="C650" s="1" t="s">
        <v>24</v>
      </c>
      <c r="D650" s="1" t="s">
        <v>11</v>
      </c>
      <c r="E650" s="9">
        <v>45755.0</v>
      </c>
      <c r="F650" s="2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7">
        <v>45755.73641203704</v>
      </c>
      <c r="B651" s="8" t="s">
        <v>1531</v>
      </c>
      <c r="C651" s="1" t="s">
        <v>24</v>
      </c>
      <c r="D651" s="1" t="s">
        <v>11</v>
      </c>
      <c r="E651" s="9">
        <v>45755.0</v>
      </c>
      <c r="F651" s="2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7">
        <v>45755.73546296296</v>
      </c>
      <c r="B652" s="8" t="s">
        <v>1532</v>
      </c>
      <c r="C652" s="1" t="s">
        <v>24</v>
      </c>
      <c r="D652" s="1" t="s">
        <v>11</v>
      </c>
      <c r="E652" s="9">
        <v>45755.0</v>
      </c>
      <c r="F652" s="2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7">
        <v>45755.72184027778</v>
      </c>
      <c r="B653" s="8" t="s">
        <v>1535</v>
      </c>
      <c r="C653" s="1" t="s">
        <v>24</v>
      </c>
      <c r="D653" s="1" t="s">
        <v>11</v>
      </c>
      <c r="E653" s="9">
        <v>45755.0</v>
      </c>
      <c r="F653" s="2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7">
        <v>45755.71550925926</v>
      </c>
      <c r="B654" s="8" t="s">
        <v>1536</v>
      </c>
      <c r="C654" s="1" t="s">
        <v>36</v>
      </c>
      <c r="D654" s="1" t="s">
        <v>11</v>
      </c>
      <c r="E654" s="9">
        <v>45755.0</v>
      </c>
      <c r="F654" s="2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7">
        <v>45755.71326388889</v>
      </c>
      <c r="B655" s="8" t="s">
        <v>1539</v>
      </c>
      <c r="C655" s="1" t="s">
        <v>15</v>
      </c>
      <c r="D655" s="1" t="s">
        <v>11</v>
      </c>
      <c r="E655" s="9">
        <v>45755.0</v>
      </c>
      <c r="F655" s="2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7">
        <v>45755.69325231481</v>
      </c>
      <c r="B656" s="8" t="s">
        <v>1540</v>
      </c>
      <c r="C656" s="1" t="s">
        <v>24</v>
      </c>
      <c r="D656" s="1" t="s">
        <v>11</v>
      </c>
      <c r="E656" s="9">
        <v>45755.0</v>
      </c>
      <c r="F656" s="2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7">
        <v>45752.51048611111</v>
      </c>
      <c r="B657" s="8" t="s">
        <v>1541</v>
      </c>
      <c r="C657" s="1" t="s">
        <v>24</v>
      </c>
      <c r="D657" s="1" t="s">
        <v>11</v>
      </c>
      <c r="E657" s="9">
        <v>45752.0</v>
      </c>
      <c r="F657" s="2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7">
        <v>45752.506261574075</v>
      </c>
      <c r="B658" s="8" t="s">
        <v>1544</v>
      </c>
      <c r="C658" s="1" t="s">
        <v>36</v>
      </c>
      <c r="D658" s="1" t="s">
        <v>11</v>
      </c>
      <c r="E658" s="9">
        <v>45752.0</v>
      </c>
      <c r="F658" s="2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7">
        <v>45752.29859953704</v>
      </c>
      <c r="B659" s="8" t="s">
        <v>1545</v>
      </c>
      <c r="C659" s="1" t="s">
        <v>10</v>
      </c>
      <c r="D659" s="1" t="s">
        <v>11</v>
      </c>
      <c r="E659" s="9">
        <v>45752.0</v>
      </c>
      <c r="F659" s="2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7">
        <v>45752.293645833335</v>
      </c>
      <c r="B660" s="8" t="s">
        <v>1546</v>
      </c>
      <c r="C660" s="1" t="s">
        <v>24</v>
      </c>
      <c r="D660" s="1" t="s">
        <v>11</v>
      </c>
      <c r="E660" s="9">
        <v>45752.0</v>
      </c>
      <c r="F660" s="2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7">
        <v>45752.29188657407</v>
      </c>
      <c r="B661" s="8" t="s">
        <v>1549</v>
      </c>
      <c r="C661" s="1" t="s">
        <v>36</v>
      </c>
      <c r="D661" s="1" t="s">
        <v>11</v>
      </c>
      <c r="E661" s="9">
        <v>45752.0</v>
      </c>
      <c r="F661" s="2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7">
        <v>45750.54472222222</v>
      </c>
      <c r="B662" s="8" t="s">
        <v>1550</v>
      </c>
      <c r="C662" s="1" t="s">
        <v>24</v>
      </c>
      <c r="D662" s="1" t="s">
        <v>11</v>
      </c>
      <c r="E662" s="9">
        <v>45750.0</v>
      </c>
      <c r="F662" s="2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7">
        <v>45750.53853009259</v>
      </c>
      <c r="B663" s="8" t="s">
        <v>1553</v>
      </c>
      <c r="C663" s="1" t="s">
        <v>24</v>
      </c>
      <c r="D663" s="1" t="s">
        <v>11</v>
      </c>
      <c r="E663" s="9">
        <v>45750.0</v>
      </c>
      <c r="F663" s="2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7">
        <v>45750.530439814815</v>
      </c>
      <c r="B664" s="8" t="s">
        <v>1554</v>
      </c>
      <c r="C664" s="1" t="s">
        <v>24</v>
      </c>
      <c r="D664" s="1" t="s">
        <v>11</v>
      </c>
      <c r="E664" s="9">
        <v>45750.0</v>
      </c>
      <c r="F664" s="2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7">
        <v>45750.52862268518</v>
      </c>
      <c r="B665" s="8" t="s">
        <v>1555</v>
      </c>
      <c r="C665" s="1" t="s">
        <v>24</v>
      </c>
      <c r="D665" s="1" t="s">
        <v>11</v>
      </c>
      <c r="E665" s="9">
        <v>45750.0</v>
      </c>
      <c r="F665" s="2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7">
        <v>45750.51930555556</v>
      </c>
      <c r="B666" s="8" t="s">
        <v>1558</v>
      </c>
      <c r="C666" s="1" t="s">
        <v>99</v>
      </c>
      <c r="D666" s="1" t="s">
        <v>11</v>
      </c>
      <c r="E666" s="9">
        <v>45750.0</v>
      </c>
      <c r="F666" s="2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7">
        <v>45750.516921296294</v>
      </c>
      <c r="B667" s="8" t="s">
        <v>1559</v>
      </c>
      <c r="C667" s="1" t="s">
        <v>577</v>
      </c>
      <c r="D667" s="1" t="s">
        <v>11</v>
      </c>
      <c r="E667" s="9">
        <v>45750.0</v>
      </c>
      <c r="F667" s="2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7">
        <v>45750.507523148146</v>
      </c>
      <c r="B668" s="8" t="s">
        <v>1562</v>
      </c>
      <c r="C668" s="1" t="s">
        <v>24</v>
      </c>
      <c r="D668" s="1" t="s">
        <v>11</v>
      </c>
      <c r="E668" s="9">
        <v>45750.0</v>
      </c>
      <c r="F668" s="2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7">
        <v>45742.46196759259</v>
      </c>
      <c r="B669" s="8" t="s">
        <v>1563</v>
      </c>
      <c r="C669" s="1" t="s">
        <v>24</v>
      </c>
      <c r="D669" s="1" t="s">
        <v>11</v>
      </c>
      <c r="E669" s="9">
        <v>45742.0</v>
      </c>
      <c r="F669" s="2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7">
        <v>45742.459965277776</v>
      </c>
      <c r="B670" s="8" t="s">
        <v>1565</v>
      </c>
      <c r="C670" s="1" t="s">
        <v>24</v>
      </c>
      <c r="D670" s="1" t="s">
        <v>11</v>
      </c>
      <c r="E670" s="9">
        <v>45742.0</v>
      </c>
      <c r="F670" s="2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7">
        <v>45742.44550925926</v>
      </c>
      <c r="B671" s="8" t="s">
        <v>1566</v>
      </c>
      <c r="C671" s="1" t="s">
        <v>24</v>
      </c>
      <c r="D671" s="1" t="s">
        <v>11</v>
      </c>
      <c r="E671" s="9">
        <v>45742.0</v>
      </c>
      <c r="F671" s="2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7">
        <v>45742.443773148145</v>
      </c>
      <c r="B672" s="8" t="s">
        <v>1569</v>
      </c>
      <c r="C672" s="1" t="s">
        <v>15</v>
      </c>
      <c r="D672" s="1" t="s">
        <v>11</v>
      </c>
      <c r="E672" s="9">
        <v>45742.0</v>
      </c>
      <c r="F672" s="2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7">
        <v>45742.44162037037</v>
      </c>
      <c r="B673" s="8" t="s">
        <v>1570</v>
      </c>
      <c r="C673" s="1" t="s">
        <v>73</v>
      </c>
      <c r="D673" s="1" t="s">
        <v>11</v>
      </c>
      <c r="E673" s="9">
        <v>45745.0</v>
      </c>
      <c r="F673" s="2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7">
        <v>45742.416909722226</v>
      </c>
      <c r="B674" s="8" t="s">
        <v>1573</v>
      </c>
      <c r="C674" s="1" t="s">
        <v>36</v>
      </c>
      <c r="D674" s="1" t="s">
        <v>11</v>
      </c>
      <c r="E674" s="9">
        <v>45742.0</v>
      </c>
      <c r="F674" s="2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7">
        <v>45742.40837962963</v>
      </c>
      <c r="B675" s="8" t="s">
        <v>1575</v>
      </c>
      <c r="C675" s="1" t="s">
        <v>73</v>
      </c>
      <c r="D675" s="1" t="s">
        <v>11</v>
      </c>
      <c r="E675" s="9">
        <v>45742.0</v>
      </c>
      <c r="F675" s="2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7">
        <v>45742.406006944446</v>
      </c>
      <c r="B676" s="8" t="s">
        <v>1576</v>
      </c>
      <c r="C676" s="1" t="s">
        <v>73</v>
      </c>
      <c r="D676" s="1" t="s">
        <v>11</v>
      </c>
      <c r="E676" s="9">
        <v>45742.0</v>
      </c>
      <c r="F676" s="2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7">
        <v>45742.40241898148</v>
      </c>
      <c r="B677" s="8" t="s">
        <v>1578</v>
      </c>
      <c r="C677" s="1" t="s">
        <v>73</v>
      </c>
      <c r="D677" s="1" t="s">
        <v>11</v>
      </c>
      <c r="E677" s="9">
        <v>45742.0</v>
      </c>
      <c r="F677" s="2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7">
        <v>45742.40033564815</v>
      </c>
      <c r="B678" s="8" t="s">
        <v>1579</v>
      </c>
      <c r="C678" s="1" t="s">
        <v>24</v>
      </c>
      <c r="D678" s="1" t="s">
        <v>11</v>
      </c>
      <c r="E678" s="9">
        <v>45742.0</v>
      </c>
      <c r="F678" s="2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7">
        <v>45734.4002662037</v>
      </c>
      <c r="B679" s="8" t="s">
        <v>1580</v>
      </c>
      <c r="C679" s="1" t="s">
        <v>24</v>
      </c>
      <c r="D679" s="1" t="s">
        <v>11</v>
      </c>
      <c r="E679" s="9">
        <v>45734.0</v>
      </c>
      <c r="F679" s="2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7">
        <v>45734.39881944445</v>
      </c>
      <c r="B680" s="8" t="s">
        <v>1583</v>
      </c>
      <c r="C680" s="1" t="s">
        <v>24</v>
      </c>
      <c r="D680" s="1" t="s">
        <v>11</v>
      </c>
      <c r="E680" s="9">
        <v>45734.0</v>
      </c>
      <c r="F680" s="2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7">
        <v>45734.3978125</v>
      </c>
      <c r="B681" s="8" t="s">
        <v>1584</v>
      </c>
      <c r="C681" s="1" t="s">
        <v>24</v>
      </c>
      <c r="D681" s="1" t="s">
        <v>11</v>
      </c>
      <c r="E681" s="9">
        <v>45734.0</v>
      </c>
      <c r="F681" s="2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7">
        <v>45734.395902777775</v>
      </c>
      <c r="B682" s="8" t="s">
        <v>1587</v>
      </c>
      <c r="C682" s="1" t="s">
        <v>24</v>
      </c>
      <c r="D682" s="1" t="s">
        <v>11</v>
      </c>
      <c r="E682" s="9">
        <v>45734.0</v>
      </c>
      <c r="F682" s="2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7">
        <v>45734.39340277778</v>
      </c>
      <c r="B683" s="8" t="s">
        <v>1588</v>
      </c>
      <c r="C683" s="1" t="s">
        <v>24</v>
      </c>
      <c r="D683" s="1" t="s">
        <v>11</v>
      </c>
      <c r="E683" s="9">
        <v>45734.0</v>
      </c>
      <c r="F683" s="2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7">
        <v>45734.36163194444</v>
      </c>
      <c r="B684" s="8" t="s">
        <v>1589</v>
      </c>
      <c r="C684" s="1" t="s">
        <v>15</v>
      </c>
      <c r="D684" s="1" t="s">
        <v>11</v>
      </c>
      <c r="E684" s="9">
        <v>45734.0</v>
      </c>
      <c r="F684" s="2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7">
        <v>45734.359131944446</v>
      </c>
      <c r="B685" s="8" t="s">
        <v>1592</v>
      </c>
      <c r="C685" s="1" t="s">
        <v>10</v>
      </c>
      <c r="D685" s="1" t="s">
        <v>11</v>
      </c>
      <c r="E685" s="9">
        <v>45734.0</v>
      </c>
      <c r="F685" s="2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7">
        <v>45734.35613425926</v>
      </c>
      <c r="B686" s="8" t="s">
        <v>1593</v>
      </c>
      <c r="C686" s="1" t="s">
        <v>24</v>
      </c>
      <c r="D686" s="1" t="s">
        <v>11</v>
      </c>
      <c r="E686" s="9">
        <v>45734.0</v>
      </c>
      <c r="F686" s="2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7">
        <v>45734.35092592592</v>
      </c>
      <c r="B687" s="8" t="s">
        <v>1596</v>
      </c>
      <c r="C687" s="1" t="s">
        <v>24</v>
      </c>
      <c r="D687" s="1" t="s">
        <v>11</v>
      </c>
      <c r="E687" s="9">
        <v>45734.0</v>
      </c>
      <c r="F687" s="2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7">
        <v>45734.35024305555</v>
      </c>
      <c r="B688" s="8" t="s">
        <v>1597</v>
      </c>
      <c r="C688" s="1" t="s">
        <v>36</v>
      </c>
      <c r="D688" s="1" t="s">
        <v>11</v>
      </c>
      <c r="E688" s="9">
        <v>45734.0</v>
      </c>
      <c r="F688" s="2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7">
        <v>45731.50782407408</v>
      </c>
      <c r="B689" s="8" t="s">
        <v>1600</v>
      </c>
      <c r="C689" s="1" t="s">
        <v>24</v>
      </c>
      <c r="D689" s="1" t="s">
        <v>11</v>
      </c>
      <c r="E689" s="9">
        <v>45731.0</v>
      </c>
      <c r="F689" s="2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7">
        <v>45731.501979166664</v>
      </c>
      <c r="B690" s="8" t="s">
        <v>1601</v>
      </c>
      <c r="C690" s="1" t="s">
        <v>15</v>
      </c>
      <c r="D690" s="1" t="s">
        <v>11</v>
      </c>
      <c r="E690" s="9">
        <v>45731.0</v>
      </c>
      <c r="F690" s="2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7">
        <v>45731.49663194444</v>
      </c>
      <c r="B691" s="8" t="s">
        <v>1603</v>
      </c>
      <c r="C691" s="1" t="s">
        <v>15</v>
      </c>
      <c r="D691" s="1" t="s">
        <v>11</v>
      </c>
      <c r="E691" s="9">
        <v>45731.0</v>
      </c>
      <c r="F691" s="2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7">
        <v>45731.495474537034</v>
      </c>
      <c r="B692" s="8" t="s">
        <v>1606</v>
      </c>
      <c r="C692" s="1" t="s">
        <v>73</v>
      </c>
      <c r="D692" s="1" t="s">
        <v>11</v>
      </c>
      <c r="E692" s="9">
        <v>45731.0</v>
      </c>
      <c r="F692" s="2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7">
        <v>45731.494108796294</v>
      </c>
      <c r="B693" s="8" t="s">
        <v>1607</v>
      </c>
      <c r="C693" s="1" t="s">
        <v>24</v>
      </c>
      <c r="D693" s="1" t="s">
        <v>11</v>
      </c>
      <c r="E693" s="9">
        <v>45731.0</v>
      </c>
      <c r="F693" s="2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7">
        <v>45729.805659722224</v>
      </c>
      <c r="B694" s="8" t="s">
        <v>1608</v>
      </c>
      <c r="C694" s="1" t="s">
        <v>36</v>
      </c>
      <c r="D694" s="1" t="s">
        <v>11</v>
      </c>
      <c r="E694" s="9">
        <v>45729.0</v>
      </c>
      <c r="F694" s="2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7">
        <v>45729.80446759259</v>
      </c>
      <c r="B695" s="8" t="s">
        <v>1611</v>
      </c>
      <c r="C695" s="1" t="s">
        <v>36</v>
      </c>
      <c r="D695" s="1" t="s">
        <v>11</v>
      </c>
      <c r="E695" s="9">
        <v>45729.0</v>
      </c>
      <c r="F695" s="2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7">
        <v>45723.787152777775</v>
      </c>
      <c r="B696" s="8" t="s">
        <v>1612</v>
      </c>
      <c r="C696" s="1" t="s">
        <v>36</v>
      </c>
      <c r="D696" s="1" t="s">
        <v>11</v>
      </c>
      <c r="E696" s="9">
        <v>45723.0</v>
      </c>
      <c r="F696" s="2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7">
        <v>45723.73166666667</v>
      </c>
      <c r="B697" s="8" t="s">
        <v>1615</v>
      </c>
      <c r="C697" s="1" t="s">
        <v>24</v>
      </c>
      <c r="D697" s="1" t="s">
        <v>11</v>
      </c>
      <c r="E697" s="9">
        <v>45723.0</v>
      </c>
      <c r="F697" s="2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7">
        <v>45723.698854166665</v>
      </c>
      <c r="B698" s="8" t="s">
        <v>1616</v>
      </c>
      <c r="C698" s="1" t="s">
        <v>10</v>
      </c>
      <c r="D698" s="1" t="s">
        <v>11</v>
      </c>
      <c r="E698" s="9">
        <v>45723.0</v>
      </c>
      <c r="F698" s="2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7">
        <v>45723.693449074075</v>
      </c>
      <c r="B699" s="8" t="s">
        <v>1619</v>
      </c>
      <c r="C699" s="1" t="s">
        <v>24</v>
      </c>
      <c r="D699" s="1" t="s">
        <v>11</v>
      </c>
      <c r="E699" s="9">
        <v>45723.0</v>
      </c>
      <c r="F699" s="2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7">
        <v>45723.67155092592</v>
      </c>
      <c r="B700" s="8" t="s">
        <v>1620</v>
      </c>
      <c r="C700" s="1" t="s">
        <v>24</v>
      </c>
      <c r="D700" s="1" t="s">
        <v>11</v>
      </c>
      <c r="E700" s="9">
        <v>45723.0</v>
      </c>
      <c r="F700" s="2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7">
        <v>45723.661574074074</v>
      </c>
      <c r="B701" s="8" t="s">
        <v>1623</v>
      </c>
      <c r="C701" s="1" t="s">
        <v>19</v>
      </c>
      <c r="D701" s="1" t="s">
        <v>11</v>
      </c>
      <c r="E701" s="9">
        <v>45723.0</v>
      </c>
      <c r="F701" s="2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7">
        <v>45723.40950231482</v>
      </c>
      <c r="B702" s="8" t="s">
        <v>1624</v>
      </c>
      <c r="C702" s="1" t="s">
        <v>24</v>
      </c>
      <c r="D702" s="1" t="s">
        <v>11</v>
      </c>
      <c r="E702" s="9">
        <v>45723.0</v>
      </c>
      <c r="F702" s="2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7">
        <v>45719.4080787037</v>
      </c>
      <c r="B703" s="8" t="s">
        <v>1627</v>
      </c>
      <c r="C703" s="1" t="s">
        <v>10</v>
      </c>
      <c r="D703" s="1" t="s">
        <v>11</v>
      </c>
      <c r="E703" s="9">
        <v>45719.0</v>
      </c>
      <c r="F703" s="2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7">
        <v>45719.40362268518</v>
      </c>
      <c r="B704" s="8" t="s">
        <v>1628</v>
      </c>
      <c r="C704" s="1" t="s">
        <v>24</v>
      </c>
      <c r="D704" s="1" t="s">
        <v>11</v>
      </c>
      <c r="E704" s="9">
        <v>45719.0</v>
      </c>
      <c r="F704" s="2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7">
        <v>45719.39784722222</v>
      </c>
      <c r="B705" s="8" t="s">
        <v>1630</v>
      </c>
      <c r="C705" s="1" t="s">
        <v>73</v>
      </c>
      <c r="D705" s="1" t="s">
        <v>11</v>
      </c>
      <c r="E705" s="9">
        <v>45719.0</v>
      </c>
      <c r="F705" s="2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7">
        <v>45719.39063657408</v>
      </c>
      <c r="B706" s="8" t="s">
        <v>1633</v>
      </c>
      <c r="C706" s="1" t="s">
        <v>15</v>
      </c>
      <c r="D706" s="1" t="s">
        <v>11</v>
      </c>
      <c r="E706" s="9">
        <v>45719.0</v>
      </c>
      <c r="F706" s="2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7">
        <v>45719.372719907406</v>
      </c>
      <c r="B707" s="8" t="s">
        <v>1634</v>
      </c>
      <c r="C707" s="1" t="s">
        <v>24</v>
      </c>
      <c r="D707" s="1" t="s">
        <v>11</v>
      </c>
      <c r="E707" s="9">
        <v>45719.0</v>
      </c>
      <c r="F707" s="2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7">
        <v>45719.32962962963</v>
      </c>
      <c r="B708" s="8" t="s">
        <v>1637</v>
      </c>
      <c r="C708" s="1" t="s">
        <v>24</v>
      </c>
      <c r="D708" s="1" t="s">
        <v>11</v>
      </c>
      <c r="E708" s="9">
        <v>45719.0</v>
      </c>
      <c r="F708" s="2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7">
        <v>45719.26702546296</v>
      </c>
      <c r="B709" s="8" t="s">
        <v>1639</v>
      </c>
      <c r="C709" s="1" t="s">
        <v>19</v>
      </c>
      <c r="D709" s="1" t="s">
        <v>11</v>
      </c>
      <c r="E709" s="9">
        <v>45719.0</v>
      </c>
      <c r="F709" s="2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7">
        <v>45718.5637037037</v>
      </c>
      <c r="B710" s="8" t="s">
        <v>1640</v>
      </c>
      <c r="C710" s="1" t="s">
        <v>19</v>
      </c>
      <c r="D710" s="1" t="s">
        <v>11</v>
      </c>
      <c r="E710" s="9">
        <v>45718.0</v>
      </c>
      <c r="F710" s="2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7">
        <v>45717.576875</v>
      </c>
      <c r="B711" s="8" t="s">
        <v>1643</v>
      </c>
      <c r="C711" s="1" t="s">
        <v>24</v>
      </c>
      <c r="D711" s="1" t="s">
        <v>11</v>
      </c>
      <c r="E711" s="9">
        <v>45717.0</v>
      </c>
      <c r="F711" s="2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7">
        <v>45714.29773148148</v>
      </c>
      <c r="B712" s="8" t="s">
        <v>1644</v>
      </c>
      <c r="C712" s="1" t="s">
        <v>24</v>
      </c>
      <c r="D712" s="1" t="s">
        <v>11</v>
      </c>
      <c r="E712" s="9">
        <v>45714.0</v>
      </c>
      <c r="F712" s="2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7">
        <v>45709.323796296296</v>
      </c>
      <c r="B713" s="8" t="s">
        <v>1646</v>
      </c>
      <c r="C713" s="1" t="s">
        <v>15</v>
      </c>
      <c r="D713" s="1" t="s">
        <v>11</v>
      </c>
      <c r="E713" s="9">
        <v>45709.0</v>
      </c>
      <c r="F713" s="2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7">
        <v>45709.322488425925</v>
      </c>
      <c r="B714" s="8" t="s">
        <v>1647</v>
      </c>
      <c r="C714" s="1" t="s">
        <v>19</v>
      </c>
      <c r="D714" s="1" t="s">
        <v>11</v>
      </c>
      <c r="E714" s="9">
        <v>45709.0</v>
      </c>
      <c r="F714" s="2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7">
        <v>45709.29578703704</v>
      </c>
      <c r="B715" s="8" t="s">
        <v>1648</v>
      </c>
      <c r="C715" s="1" t="s">
        <v>19</v>
      </c>
      <c r="D715" s="1" t="s">
        <v>11</v>
      </c>
      <c r="E715" s="9">
        <v>45709.0</v>
      </c>
      <c r="F715" s="2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7">
        <v>45709.26907407407</v>
      </c>
      <c r="B716" s="8" t="s">
        <v>1652</v>
      </c>
      <c r="C716" s="1" t="s">
        <v>10</v>
      </c>
      <c r="D716" s="1" t="s">
        <v>11</v>
      </c>
      <c r="E716" s="9">
        <v>45709.0</v>
      </c>
      <c r="F716" s="2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7">
        <v>45709.26663194445</v>
      </c>
      <c r="B717" s="8" t="s">
        <v>1653</v>
      </c>
      <c r="C717" s="1" t="s">
        <v>24</v>
      </c>
      <c r="D717" s="1" t="s">
        <v>11</v>
      </c>
      <c r="E717" s="9">
        <v>45709.0</v>
      </c>
      <c r="F717" s="2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7">
        <v>45709.22993055556</v>
      </c>
      <c r="B718" s="8" t="s">
        <v>1655</v>
      </c>
      <c r="C718" s="1" t="s">
        <v>10</v>
      </c>
      <c r="D718" s="1" t="s">
        <v>11</v>
      </c>
      <c r="E718" s="9">
        <v>45709.0</v>
      </c>
      <c r="F718" s="2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7">
        <v>45709.21571759259</v>
      </c>
      <c r="B719" s="8" t="s">
        <v>1658</v>
      </c>
      <c r="C719" s="1" t="s">
        <v>24</v>
      </c>
      <c r="D719" s="1" t="s">
        <v>11</v>
      </c>
      <c r="E719" s="9">
        <v>45709.0</v>
      </c>
      <c r="F719" s="2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7">
        <v>45708.52903935185</v>
      </c>
      <c r="B720" s="8" t="s">
        <v>1659</v>
      </c>
      <c r="C720" s="1" t="s">
        <v>73</v>
      </c>
      <c r="D720" s="1" t="s">
        <v>11</v>
      </c>
      <c r="E720" s="9">
        <v>45708.0</v>
      </c>
      <c r="F720" s="2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7">
        <v>45708.52496527778</v>
      </c>
      <c r="B721" s="8" t="s">
        <v>1660</v>
      </c>
      <c r="C721" s="1" t="s">
        <v>15</v>
      </c>
      <c r="D721" s="1" t="s">
        <v>11</v>
      </c>
      <c r="E721" s="9">
        <v>45708.0</v>
      </c>
      <c r="F721" s="2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7">
        <v>45708.48060185185</v>
      </c>
      <c r="B722" s="8" t="s">
        <v>1662</v>
      </c>
      <c r="C722" s="1" t="s">
        <v>24</v>
      </c>
      <c r="D722" s="1" t="s">
        <v>11</v>
      </c>
      <c r="E722" s="9">
        <v>45708.0</v>
      </c>
      <c r="F722" s="2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7">
        <v>45700.22912037037</v>
      </c>
      <c r="B723" s="8" t="s">
        <v>1664</v>
      </c>
      <c r="C723" s="1" t="s">
        <v>24</v>
      </c>
      <c r="D723" s="1" t="s">
        <v>11</v>
      </c>
      <c r="E723" s="9">
        <v>45700.0</v>
      </c>
      <c r="F723" s="2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7">
        <v>45698.43709490741</v>
      </c>
      <c r="B724" s="8" t="s">
        <v>1665</v>
      </c>
      <c r="C724" s="1" t="s">
        <v>24</v>
      </c>
      <c r="D724" s="1" t="s">
        <v>11</v>
      </c>
      <c r="E724" s="9">
        <v>45698.0</v>
      </c>
      <c r="F724" s="2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7">
        <v>45698.42791666667</v>
      </c>
      <c r="B725" s="8" t="s">
        <v>1668</v>
      </c>
      <c r="C725" s="1" t="s">
        <v>24</v>
      </c>
      <c r="D725" s="1" t="s">
        <v>11</v>
      </c>
      <c r="E725" s="9">
        <v>45698.0</v>
      </c>
      <c r="F725" s="2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7">
        <v>45698.42304398148</v>
      </c>
      <c r="B726" s="8" t="s">
        <v>1670</v>
      </c>
      <c r="C726" s="1" t="s">
        <v>73</v>
      </c>
      <c r="D726" s="1" t="s">
        <v>11</v>
      </c>
      <c r="E726" s="9">
        <v>45698.0</v>
      </c>
      <c r="F726" s="2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7">
        <v>45695.844814814816</v>
      </c>
      <c r="B727" s="8" t="s">
        <v>1671</v>
      </c>
      <c r="C727" s="1" t="s">
        <v>36</v>
      </c>
      <c r="D727" s="1" t="s">
        <v>11</v>
      </c>
      <c r="E727" s="9">
        <v>45695.0</v>
      </c>
      <c r="F727" s="2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7">
        <v>45695.83403935185</v>
      </c>
      <c r="B728" s="8" t="s">
        <v>1673</v>
      </c>
      <c r="C728" s="1" t="s">
        <v>73</v>
      </c>
      <c r="D728" s="1" t="s">
        <v>11</v>
      </c>
      <c r="E728" s="9">
        <v>45695.0</v>
      </c>
      <c r="F728" s="2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7">
        <v>45695.83146990741</v>
      </c>
      <c r="B729" s="8" t="s">
        <v>1675</v>
      </c>
      <c r="C729" s="1" t="s">
        <v>24</v>
      </c>
      <c r="D729" s="1" t="s">
        <v>11</v>
      </c>
      <c r="E729" s="9">
        <v>45695.0</v>
      </c>
      <c r="F729" s="2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7">
        <v>45695.82880787037</v>
      </c>
      <c r="B730" s="8" t="s">
        <v>1677</v>
      </c>
      <c r="C730" s="1" t="s">
        <v>15</v>
      </c>
      <c r="D730" s="1" t="s">
        <v>11</v>
      </c>
      <c r="E730" s="9">
        <v>45695.0</v>
      </c>
      <c r="F730" s="2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7">
        <v>45695.822488425925</v>
      </c>
      <c r="B731" s="8" t="s">
        <v>1678</v>
      </c>
      <c r="C731" s="1" t="s">
        <v>24</v>
      </c>
      <c r="D731" s="1" t="s">
        <v>11</v>
      </c>
      <c r="E731" s="9">
        <v>45695.0</v>
      </c>
      <c r="F731" s="2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7">
        <v>45695.818703703706</v>
      </c>
      <c r="B732" s="8" t="s">
        <v>1680</v>
      </c>
      <c r="C732" s="1" t="s">
        <v>15</v>
      </c>
      <c r="D732" s="1" t="s">
        <v>11</v>
      </c>
      <c r="E732" s="9">
        <v>45695.0</v>
      </c>
      <c r="F732" s="2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7">
        <v>45695.817453703705</v>
      </c>
      <c r="B733" s="8" t="s">
        <v>1681</v>
      </c>
      <c r="C733" s="1" t="s">
        <v>73</v>
      </c>
      <c r="D733" s="1" t="s">
        <v>11</v>
      </c>
      <c r="E733" s="9">
        <v>45695.0</v>
      </c>
      <c r="F733" s="2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7">
        <v>45695.81659722222</v>
      </c>
      <c r="B734" s="8" t="s">
        <v>1684</v>
      </c>
      <c r="C734" s="1" t="s">
        <v>24</v>
      </c>
      <c r="D734" s="1" t="s">
        <v>11</v>
      </c>
      <c r="E734" s="9">
        <v>45695.0</v>
      </c>
      <c r="F734" s="2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7">
        <v>45694.660266203704</v>
      </c>
      <c r="B735" s="8" t="s">
        <v>1685</v>
      </c>
      <c r="C735" s="1" t="s">
        <v>36</v>
      </c>
      <c r="D735" s="1" t="s">
        <v>11</v>
      </c>
      <c r="E735" s="9">
        <v>45694.0</v>
      </c>
      <c r="F735" s="2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7">
        <v>45694.645150462966</v>
      </c>
      <c r="B736" s="8" t="s">
        <v>1687</v>
      </c>
      <c r="C736" s="1" t="s">
        <v>24</v>
      </c>
      <c r="D736" s="1" t="s">
        <v>11</v>
      </c>
      <c r="E736" s="9">
        <v>45694.0</v>
      </c>
      <c r="F736" s="2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7">
        <v>45694.63717592593</v>
      </c>
      <c r="B737" s="8" t="s">
        <v>1690</v>
      </c>
      <c r="C737" s="1" t="s">
        <v>24</v>
      </c>
      <c r="D737" s="1" t="s">
        <v>11</v>
      </c>
      <c r="E737" s="9">
        <v>45694.0</v>
      </c>
      <c r="F737" s="2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7">
        <v>45679.8478125</v>
      </c>
      <c r="B738" s="8" t="s">
        <v>1691</v>
      </c>
      <c r="C738" s="1" t="s">
        <v>24</v>
      </c>
      <c r="D738" s="1" t="s">
        <v>11</v>
      </c>
      <c r="E738" s="9">
        <v>45679.0</v>
      </c>
      <c r="F738" s="2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7">
        <v>45679.84373842592</v>
      </c>
      <c r="B739" s="8" t="s">
        <v>1693</v>
      </c>
      <c r="C739" s="1" t="s">
        <v>36</v>
      </c>
      <c r="D739" s="1" t="s">
        <v>11</v>
      </c>
      <c r="E739" s="9">
        <v>45679.0</v>
      </c>
      <c r="F739" s="2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7">
        <v>45679.82943287037</v>
      </c>
      <c r="B740" s="8" t="s">
        <v>1695</v>
      </c>
      <c r="C740" s="1" t="s">
        <v>24</v>
      </c>
      <c r="D740" s="1" t="s">
        <v>11</v>
      </c>
      <c r="E740" s="9">
        <v>45679.0</v>
      </c>
      <c r="F740" s="2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7">
        <v>45679.82518518518</v>
      </c>
      <c r="B741" s="8" t="s">
        <v>1696</v>
      </c>
      <c r="C741" s="1" t="s">
        <v>24</v>
      </c>
      <c r="D741" s="1" t="s">
        <v>11</v>
      </c>
      <c r="E741" s="9">
        <v>45679.0</v>
      </c>
      <c r="F741" s="2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7">
        <v>45679.82119212963</v>
      </c>
      <c r="B742" s="8" t="s">
        <v>1699</v>
      </c>
      <c r="C742" s="1" t="s">
        <v>24</v>
      </c>
      <c r="D742" s="1" t="s">
        <v>11</v>
      </c>
      <c r="E742" s="9">
        <v>45679.0</v>
      </c>
      <c r="F742" s="2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7">
        <v>45679.81596064815</v>
      </c>
      <c r="B743" s="8" t="s">
        <v>1700</v>
      </c>
      <c r="C743" s="1" t="s">
        <v>24</v>
      </c>
      <c r="D743" s="1" t="s">
        <v>11</v>
      </c>
      <c r="E743" s="9">
        <v>45679.0</v>
      </c>
      <c r="F743" s="2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7">
        <v>45673.631157407406</v>
      </c>
      <c r="B744" s="8" t="s">
        <v>1701</v>
      </c>
      <c r="C744" s="1" t="s">
        <v>24</v>
      </c>
      <c r="D744" s="1" t="s">
        <v>11</v>
      </c>
      <c r="E744" s="9">
        <v>45673.0</v>
      </c>
      <c r="F744" s="2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7">
        <v>45673.62422453704</v>
      </c>
      <c r="B745" s="8" t="s">
        <v>1704</v>
      </c>
      <c r="C745" s="1" t="s">
        <v>10</v>
      </c>
      <c r="D745" s="1" t="s">
        <v>11</v>
      </c>
      <c r="E745" s="9">
        <v>45673.0</v>
      </c>
      <c r="F745" s="2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7">
        <v>45642.29701388889</v>
      </c>
      <c r="B746" s="8" t="s">
        <v>1707</v>
      </c>
      <c r="C746" s="1" t="s">
        <v>24</v>
      </c>
      <c r="D746" s="1" t="s">
        <v>11</v>
      </c>
      <c r="E746" s="9">
        <v>45639.0</v>
      </c>
      <c r="F746" s="2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7">
        <v>45642.288935185185</v>
      </c>
      <c r="B747" s="8" t="s">
        <v>1710</v>
      </c>
      <c r="C747" s="1" t="s">
        <v>24</v>
      </c>
      <c r="D747" s="1" t="s">
        <v>11</v>
      </c>
      <c r="E747" s="9">
        <v>45639.0</v>
      </c>
      <c r="F747" s="2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7">
        <v>45642.28542824074</v>
      </c>
      <c r="B748" s="8" t="s">
        <v>1711</v>
      </c>
      <c r="C748" s="1" t="s">
        <v>73</v>
      </c>
      <c r="D748" s="1" t="s">
        <v>11</v>
      </c>
      <c r="E748" s="9">
        <v>45640.0</v>
      </c>
      <c r="F748" s="2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7">
        <v>45642.275659722225</v>
      </c>
      <c r="B749" s="8" t="s">
        <v>1713</v>
      </c>
      <c r="C749" s="1" t="s">
        <v>73</v>
      </c>
      <c r="D749" s="1" t="s">
        <v>11</v>
      </c>
      <c r="E749" s="9">
        <v>45640.0</v>
      </c>
      <c r="F749" s="2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7">
        <v>45641.7821875</v>
      </c>
      <c r="B750" s="8" t="s">
        <v>1715</v>
      </c>
      <c r="C750" s="1" t="s">
        <v>19</v>
      </c>
      <c r="D750" s="1" t="s">
        <v>11</v>
      </c>
      <c r="E750" s="9">
        <v>45640.0</v>
      </c>
      <c r="F750" s="2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7">
        <v>45640.79462962963</v>
      </c>
      <c r="B751" s="8" t="s">
        <v>1716</v>
      </c>
      <c r="C751" s="1" t="s">
        <v>24</v>
      </c>
      <c r="D751" s="1" t="s">
        <v>11</v>
      </c>
      <c r="E751" s="9">
        <v>45640.0</v>
      </c>
      <c r="F751" s="2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7">
        <v>45640.79383101852</v>
      </c>
      <c r="B752" s="8" t="s">
        <v>1718</v>
      </c>
      <c r="C752" s="1" t="s">
        <v>24</v>
      </c>
      <c r="D752" s="1" t="s">
        <v>11</v>
      </c>
      <c r="E752" s="9">
        <v>45640.0</v>
      </c>
      <c r="F752" s="2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7">
        <v>45640.7903125</v>
      </c>
      <c r="B753" s="8" t="s">
        <v>1722</v>
      </c>
      <c r="C753" s="1" t="s">
        <v>24</v>
      </c>
      <c r="D753" s="1" t="s">
        <v>11</v>
      </c>
      <c r="E753" s="9">
        <v>45640.0</v>
      </c>
      <c r="F753" s="2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7">
        <v>45640.767916666664</v>
      </c>
      <c r="B754" s="8" t="s">
        <v>1723</v>
      </c>
      <c r="C754" s="1" t="s">
        <v>36</v>
      </c>
      <c r="D754" s="1" t="s">
        <v>11</v>
      </c>
      <c r="E754" s="9">
        <v>45640.0</v>
      </c>
      <c r="F754" s="2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7">
        <v>45640.74664351852</v>
      </c>
      <c r="B755" s="8" t="s">
        <v>1725</v>
      </c>
      <c r="C755" s="1" t="s">
        <v>24</v>
      </c>
      <c r="D755" s="1" t="s">
        <v>11</v>
      </c>
      <c r="E755" s="9">
        <v>45640.0</v>
      </c>
      <c r="F755" s="2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7">
        <v>45640.73851851852</v>
      </c>
      <c r="B756" s="8" t="s">
        <v>1726</v>
      </c>
      <c r="C756" s="1" t="s">
        <v>215</v>
      </c>
      <c r="D756" s="1" t="s">
        <v>11</v>
      </c>
      <c r="E756" s="9">
        <v>45640.0</v>
      </c>
      <c r="F756" s="2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7">
        <v>45640.7196412037</v>
      </c>
      <c r="B757" s="8" t="s">
        <v>1729</v>
      </c>
      <c r="C757" s="1" t="s">
        <v>73</v>
      </c>
      <c r="D757" s="1" t="s">
        <v>11</v>
      </c>
      <c r="E757" s="9">
        <v>45640.0</v>
      </c>
      <c r="F757" s="2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7">
        <v>45640.71560185185</v>
      </c>
      <c r="B758" s="8" t="s">
        <v>1732</v>
      </c>
      <c r="C758" s="1" t="s">
        <v>36</v>
      </c>
      <c r="D758" s="1" t="s">
        <v>11</v>
      </c>
      <c r="E758" s="9">
        <v>45640.0</v>
      </c>
      <c r="F758" s="2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7">
        <v>45640.61517361111</v>
      </c>
      <c r="B759" s="8" t="s">
        <v>1733</v>
      </c>
      <c r="C759" s="1" t="s">
        <v>19</v>
      </c>
      <c r="D759" s="1" t="s">
        <v>11</v>
      </c>
      <c r="E759" s="9">
        <v>45640.0</v>
      </c>
      <c r="F759" s="2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7">
        <v>45640.59303240741</v>
      </c>
      <c r="B760" s="8" t="s">
        <v>1734</v>
      </c>
      <c r="C760" s="1" t="s">
        <v>15</v>
      </c>
      <c r="D760" s="1" t="s">
        <v>11</v>
      </c>
      <c r="E760" s="9">
        <v>45640.0</v>
      </c>
      <c r="F760" s="2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7">
        <v>45640.58892361111</v>
      </c>
      <c r="B761" s="8" t="s">
        <v>1735</v>
      </c>
      <c r="C761" s="1" t="s">
        <v>73</v>
      </c>
      <c r="D761" s="1" t="s">
        <v>11</v>
      </c>
      <c r="E761" s="9">
        <v>45640.0</v>
      </c>
      <c r="F761" s="2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7">
        <v>45640.587060185186</v>
      </c>
      <c r="B762" s="8" t="s">
        <v>1737</v>
      </c>
      <c r="C762" s="1" t="s">
        <v>19</v>
      </c>
      <c r="D762" s="1" t="s">
        <v>11</v>
      </c>
      <c r="E762" s="9">
        <v>45640.0</v>
      </c>
      <c r="F762" s="2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7">
        <v>45637.292546296296</v>
      </c>
      <c r="B763" s="8" t="s">
        <v>1738</v>
      </c>
      <c r="C763" s="1" t="s">
        <v>73</v>
      </c>
      <c r="D763" s="1" t="s">
        <v>11</v>
      </c>
      <c r="E763" s="9">
        <v>45637.0</v>
      </c>
      <c r="F763" s="2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7">
        <v>45637.29050925926</v>
      </c>
      <c r="B764" s="8" t="s">
        <v>1740</v>
      </c>
      <c r="C764" s="1" t="s">
        <v>36</v>
      </c>
      <c r="D764" s="1" t="s">
        <v>11</v>
      </c>
      <c r="E764" s="9">
        <v>45637.0</v>
      </c>
      <c r="F764" s="2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7">
        <v>45632.500231481485</v>
      </c>
      <c r="B765" s="8" t="s">
        <v>1741</v>
      </c>
      <c r="C765" s="1" t="s">
        <v>24</v>
      </c>
      <c r="D765" s="1" t="s">
        <v>11</v>
      </c>
      <c r="E765" s="9">
        <v>45632.0</v>
      </c>
      <c r="F765" s="2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7">
        <v>45625.323171296295</v>
      </c>
      <c r="B766" s="8" t="s">
        <v>1743</v>
      </c>
      <c r="C766" s="1" t="s">
        <v>24</v>
      </c>
      <c r="D766" s="1" t="s">
        <v>11</v>
      </c>
      <c r="E766" s="9">
        <v>45625.0</v>
      </c>
      <c r="F766" s="2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7">
        <v>45624.71730324074</v>
      </c>
      <c r="B767" s="8" t="s">
        <v>1744</v>
      </c>
      <c r="C767" s="1" t="s">
        <v>24</v>
      </c>
      <c r="D767" s="1" t="s">
        <v>11</v>
      </c>
      <c r="E767" s="9">
        <v>45624.0</v>
      </c>
      <c r="F767" s="2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7">
        <v>45624.71540509259</v>
      </c>
      <c r="B768" s="8" t="s">
        <v>1747</v>
      </c>
      <c r="C768" s="1" t="s">
        <v>73</v>
      </c>
      <c r="D768" s="1" t="s">
        <v>11</v>
      </c>
      <c r="E768" s="9">
        <v>45624.0</v>
      </c>
      <c r="F768" s="2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7">
        <v>45624.71241898148</v>
      </c>
      <c r="B769" s="8" t="s">
        <v>1748</v>
      </c>
      <c r="C769" s="1" t="s">
        <v>15</v>
      </c>
      <c r="D769" s="1" t="s">
        <v>11</v>
      </c>
      <c r="E769" s="9">
        <v>45624.0</v>
      </c>
      <c r="F769" s="2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7">
        <v>45624.704513888886</v>
      </c>
      <c r="B770" s="8" t="s">
        <v>1751</v>
      </c>
      <c r="C770" s="1" t="s">
        <v>24</v>
      </c>
      <c r="D770" s="1" t="s">
        <v>11</v>
      </c>
      <c r="E770" s="9">
        <v>45624.0</v>
      </c>
      <c r="F770" s="2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7">
        <v>45617.60909722222</v>
      </c>
      <c r="B771" s="8" t="s">
        <v>1752</v>
      </c>
      <c r="C771" s="1" t="s">
        <v>24</v>
      </c>
      <c r="D771" s="1" t="s">
        <v>11</v>
      </c>
      <c r="E771" s="9">
        <v>45617.0</v>
      </c>
      <c r="F771" s="2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7">
        <v>45617.564305555556</v>
      </c>
      <c r="B772" s="8" t="s">
        <v>1755</v>
      </c>
      <c r="C772" s="1" t="s">
        <v>24</v>
      </c>
      <c r="D772" s="1" t="s">
        <v>11</v>
      </c>
      <c r="E772" s="9">
        <v>45617.0</v>
      </c>
      <c r="F772" s="2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7">
        <v>45617.51798611111</v>
      </c>
      <c r="B773" s="8" t="s">
        <v>1758</v>
      </c>
      <c r="C773" s="1" t="s">
        <v>36</v>
      </c>
      <c r="D773" s="1" t="s">
        <v>11</v>
      </c>
      <c r="E773" s="9">
        <v>45617.0</v>
      </c>
      <c r="F773" s="2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7">
        <v>45617.50079861111</v>
      </c>
      <c r="B774" s="8" t="s">
        <v>1761</v>
      </c>
      <c r="C774" s="1" t="s">
        <v>24</v>
      </c>
      <c r="D774" s="1" t="s">
        <v>11</v>
      </c>
      <c r="E774" s="9">
        <v>45617.0</v>
      </c>
      <c r="F774" s="2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7">
        <v>45617.49517361111</v>
      </c>
      <c r="B775" s="8" t="s">
        <v>1762</v>
      </c>
      <c r="C775" s="1" t="s">
        <v>10</v>
      </c>
      <c r="D775" s="1" t="s">
        <v>11</v>
      </c>
      <c r="E775" s="9">
        <v>45617.0</v>
      </c>
      <c r="F775" s="2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7">
        <v>45617.48840277778</v>
      </c>
      <c r="B776" s="8" t="s">
        <v>1765</v>
      </c>
      <c r="C776" s="1" t="s">
        <v>36</v>
      </c>
      <c r="D776" s="1" t="s">
        <v>11</v>
      </c>
      <c r="E776" s="9">
        <v>45617.0</v>
      </c>
      <c r="F776" s="2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7">
        <v>45617.416909722226</v>
      </c>
      <c r="B777" s="8" t="s">
        <v>1766</v>
      </c>
      <c r="C777" s="1" t="s">
        <v>73</v>
      </c>
      <c r="D777" s="1" t="s">
        <v>11</v>
      </c>
      <c r="E777" s="9">
        <v>45617.0</v>
      </c>
      <c r="F777" s="2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7">
        <v>45617.41373842592</v>
      </c>
      <c r="B778" s="8" t="s">
        <v>1769</v>
      </c>
      <c r="C778" s="1" t="s">
        <v>99</v>
      </c>
      <c r="D778" s="1" t="s">
        <v>11</v>
      </c>
      <c r="E778" s="9">
        <v>45617.0</v>
      </c>
      <c r="F778" s="2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7">
        <v>45617.41085648148</v>
      </c>
      <c r="B779" s="8" t="s">
        <v>1772</v>
      </c>
      <c r="C779" s="1" t="s">
        <v>15</v>
      </c>
      <c r="D779" s="1" t="s">
        <v>11</v>
      </c>
      <c r="E779" s="9">
        <v>45617.0</v>
      </c>
      <c r="F779" s="2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7">
        <v>45617.397731481484</v>
      </c>
      <c r="B780" s="8" t="s">
        <v>1773</v>
      </c>
      <c r="C780" s="1" t="s">
        <v>10</v>
      </c>
      <c r="D780" s="1" t="s">
        <v>11</v>
      </c>
      <c r="E780" s="9">
        <v>45617.0</v>
      </c>
      <c r="F780" s="2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7">
        <v>45617.37709490741</v>
      </c>
      <c r="B781" s="8" t="s">
        <v>1774</v>
      </c>
      <c r="C781" s="1" t="s">
        <v>24</v>
      </c>
      <c r="D781" s="1" t="s">
        <v>11</v>
      </c>
      <c r="E781" s="9">
        <v>45617.0</v>
      </c>
      <c r="F781" s="2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7">
        <v>45617.36429398148</v>
      </c>
      <c r="B782" s="8" t="s">
        <v>1777</v>
      </c>
      <c r="C782" s="1" t="s">
        <v>24</v>
      </c>
      <c r="D782" s="1" t="s">
        <v>11</v>
      </c>
      <c r="E782" s="9">
        <v>45617.0</v>
      </c>
      <c r="F782" s="2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7">
        <v>45615.88240740741</v>
      </c>
      <c r="B783" s="8" t="s">
        <v>1778</v>
      </c>
      <c r="C783" s="1" t="s">
        <v>36</v>
      </c>
      <c r="D783" s="1" t="s">
        <v>11</v>
      </c>
      <c r="E783" s="9">
        <v>45615.0</v>
      </c>
      <c r="F783" s="2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7">
        <v>45615.87008101852</v>
      </c>
      <c r="B784" s="8" t="s">
        <v>1781</v>
      </c>
      <c r="C784" s="1" t="s">
        <v>73</v>
      </c>
      <c r="D784" s="1" t="s">
        <v>11</v>
      </c>
      <c r="E784" s="9">
        <v>45615.0</v>
      </c>
      <c r="F784" s="2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7">
        <v>45615.866747685184</v>
      </c>
      <c r="B785" s="8" t="s">
        <v>1782</v>
      </c>
      <c r="C785" s="1" t="s">
        <v>19</v>
      </c>
      <c r="D785" s="1" t="s">
        <v>11</v>
      </c>
      <c r="E785" s="9">
        <v>45615.0</v>
      </c>
      <c r="F785" s="2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7">
        <v>45615.860243055555</v>
      </c>
      <c r="B786" s="8" t="s">
        <v>1784</v>
      </c>
      <c r="C786" s="1" t="s">
        <v>24</v>
      </c>
      <c r="D786" s="1" t="s">
        <v>11</v>
      </c>
      <c r="E786" s="9">
        <v>45615.0</v>
      </c>
      <c r="F786" s="2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7">
        <v>45615.857037037036</v>
      </c>
      <c r="B787" s="8" t="s">
        <v>1785</v>
      </c>
      <c r="C787" s="1" t="s">
        <v>36</v>
      </c>
      <c r="D787" s="1" t="s">
        <v>11</v>
      </c>
      <c r="E787" s="9">
        <v>45615.0</v>
      </c>
      <c r="F787" s="2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7">
        <v>45615.839270833334</v>
      </c>
      <c r="B788" s="8" t="s">
        <v>1788</v>
      </c>
      <c r="C788" s="1" t="s">
        <v>36</v>
      </c>
      <c r="D788" s="1" t="s">
        <v>11</v>
      </c>
      <c r="E788" s="9">
        <v>45615.0</v>
      </c>
      <c r="F788" s="2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7">
        <v>45604.77887731481</v>
      </c>
      <c r="B789" s="8" t="s">
        <v>1789</v>
      </c>
      <c r="C789" s="1" t="s">
        <v>24</v>
      </c>
      <c r="D789" s="1" t="s">
        <v>11</v>
      </c>
      <c r="E789" s="9">
        <v>45604.0</v>
      </c>
      <c r="F789" s="2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7">
        <v>45604.77616898148</v>
      </c>
      <c r="B790" s="8" t="s">
        <v>1792</v>
      </c>
      <c r="C790" s="1" t="s">
        <v>24</v>
      </c>
      <c r="D790" s="1" t="s">
        <v>11</v>
      </c>
      <c r="E790" s="9">
        <v>45604.0</v>
      </c>
      <c r="F790" s="2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7">
        <v>45597.50546296296</v>
      </c>
      <c r="B791" s="8" t="s">
        <v>1793</v>
      </c>
      <c r="C791" s="1" t="s">
        <v>24</v>
      </c>
      <c r="D791" s="1" t="s">
        <v>11</v>
      </c>
      <c r="E791" s="9">
        <v>45597.0</v>
      </c>
      <c r="F791" s="2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7">
        <v>45597.458125</v>
      </c>
      <c r="B792" s="8" t="s">
        <v>1796</v>
      </c>
      <c r="C792" s="1" t="s">
        <v>73</v>
      </c>
      <c r="D792" s="1" t="s">
        <v>11</v>
      </c>
      <c r="E792" s="9">
        <v>45597.0</v>
      </c>
      <c r="F792" s="2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7">
        <v>45595.75225694444</v>
      </c>
      <c r="B793" s="8" t="s">
        <v>1798</v>
      </c>
      <c r="C793" s="1" t="s">
        <v>15</v>
      </c>
      <c r="D793" s="1" t="s">
        <v>11</v>
      </c>
      <c r="E793" s="9">
        <v>45595.0</v>
      </c>
      <c r="F793" s="2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7">
        <v>45595.750081018516</v>
      </c>
      <c r="B794" s="8" t="s">
        <v>1800</v>
      </c>
      <c r="C794" s="1" t="s">
        <v>10</v>
      </c>
      <c r="D794" s="1" t="s">
        <v>11</v>
      </c>
      <c r="E794" s="9">
        <v>45595.0</v>
      </c>
      <c r="F794" s="2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7">
        <v>45595.73688657407</v>
      </c>
      <c r="B795" s="8" t="s">
        <v>1803</v>
      </c>
      <c r="C795" s="1" t="s">
        <v>15</v>
      </c>
      <c r="D795" s="1" t="s">
        <v>11</v>
      </c>
      <c r="E795" s="9">
        <v>45595.0</v>
      </c>
      <c r="F795" s="2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7">
        <v>45595.73436342592</v>
      </c>
      <c r="B796" s="8" t="s">
        <v>1806</v>
      </c>
      <c r="C796" s="1" t="s">
        <v>15</v>
      </c>
      <c r="D796" s="1" t="s">
        <v>11</v>
      </c>
      <c r="E796" s="9">
        <v>45595.0</v>
      </c>
      <c r="F796" s="2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7">
        <v>45595.71559027778</v>
      </c>
      <c r="B797" s="8" t="s">
        <v>1807</v>
      </c>
      <c r="C797" s="1" t="s">
        <v>24</v>
      </c>
      <c r="D797" s="1" t="s">
        <v>11</v>
      </c>
      <c r="E797" s="9">
        <v>45595.0</v>
      </c>
      <c r="F797" s="2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7">
        <v>45595.691203703704</v>
      </c>
      <c r="B798" s="8" t="s">
        <v>1808</v>
      </c>
      <c r="C798" s="1" t="s">
        <v>24</v>
      </c>
      <c r="D798" s="1" t="s">
        <v>11</v>
      </c>
      <c r="E798" s="9">
        <v>45595.0</v>
      </c>
      <c r="F798" s="2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7">
        <v>45595.688206018516</v>
      </c>
      <c r="B799" s="8" t="s">
        <v>1811</v>
      </c>
      <c r="C799" s="1" t="s">
        <v>36</v>
      </c>
      <c r="D799" s="1" t="s">
        <v>11</v>
      </c>
      <c r="E799" s="9">
        <v>45595.0</v>
      </c>
      <c r="F799" s="2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7">
        <v>45595.64726851852</v>
      </c>
      <c r="B800" s="8" t="s">
        <v>1812</v>
      </c>
      <c r="C800" s="1" t="s">
        <v>15</v>
      </c>
      <c r="D800" s="1" t="s">
        <v>11</v>
      </c>
      <c r="E800" s="9">
        <v>45595.0</v>
      </c>
      <c r="F800" s="2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7">
        <v>45595.64542824074</v>
      </c>
      <c r="B801" s="8" t="s">
        <v>1814</v>
      </c>
      <c r="C801" s="1" t="s">
        <v>15</v>
      </c>
      <c r="D801" s="1" t="s">
        <v>11</v>
      </c>
      <c r="E801" s="9">
        <v>45595.0</v>
      </c>
      <c r="F801" s="2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7">
        <v>45593.64158564815</v>
      </c>
      <c r="B802" s="8" t="s">
        <v>1815</v>
      </c>
      <c r="C802" s="1" t="s">
        <v>24</v>
      </c>
      <c r="D802" s="1" t="s">
        <v>11</v>
      </c>
      <c r="E802" s="9">
        <v>45593.0</v>
      </c>
      <c r="F802" s="2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7">
        <v>45590.85465277778</v>
      </c>
      <c r="B803" s="8" t="s">
        <v>1817</v>
      </c>
      <c r="C803" s="1" t="s">
        <v>10</v>
      </c>
      <c r="D803" s="1" t="s">
        <v>11</v>
      </c>
      <c r="E803" s="9">
        <v>45590.0</v>
      </c>
      <c r="F803" s="2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7">
        <v>45590.84201388889</v>
      </c>
      <c r="B804" s="8" t="s">
        <v>1818</v>
      </c>
      <c r="C804" s="1" t="s">
        <v>24</v>
      </c>
      <c r="D804" s="1" t="s">
        <v>11</v>
      </c>
      <c r="E804" s="9">
        <v>45590.0</v>
      </c>
      <c r="F804" s="2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7">
        <v>45590.83631944445</v>
      </c>
      <c r="B805" s="8" t="s">
        <v>1820</v>
      </c>
      <c r="C805" s="1" t="s">
        <v>15</v>
      </c>
      <c r="D805" s="1" t="s">
        <v>11</v>
      </c>
      <c r="E805" s="9">
        <v>45590.0</v>
      </c>
      <c r="F805" s="2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7">
        <v>45590.82634259259</v>
      </c>
      <c r="B806" s="8" t="s">
        <v>1823</v>
      </c>
      <c r="C806" s="1" t="s">
        <v>24</v>
      </c>
      <c r="D806" s="1" t="s">
        <v>11</v>
      </c>
      <c r="E806" s="9">
        <v>45590.0</v>
      </c>
      <c r="F806" s="2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7">
        <v>45590.81836805555</v>
      </c>
      <c r="B807" s="8" t="s">
        <v>1826</v>
      </c>
      <c r="C807" s="1" t="s">
        <v>24</v>
      </c>
      <c r="D807" s="1" t="s">
        <v>11</v>
      </c>
      <c r="E807" s="9">
        <v>45590.0</v>
      </c>
      <c r="F807" s="2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7">
        <v>45590.81203703704</v>
      </c>
      <c r="B808" s="8" t="s">
        <v>1827</v>
      </c>
      <c r="C808" s="1" t="s">
        <v>215</v>
      </c>
      <c r="D808" s="1" t="s">
        <v>11</v>
      </c>
      <c r="E808" s="9">
        <v>45590.0</v>
      </c>
      <c r="F808" s="2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7">
        <v>45590.802256944444</v>
      </c>
      <c r="B809" s="8" t="s">
        <v>1828</v>
      </c>
      <c r="C809" s="1" t="s">
        <v>24</v>
      </c>
      <c r="D809" s="1" t="s">
        <v>11</v>
      </c>
      <c r="E809" s="9">
        <v>45590.0</v>
      </c>
      <c r="F809" s="2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7">
        <v>45590.38974537037</v>
      </c>
      <c r="B810" s="8" t="s">
        <v>1831</v>
      </c>
      <c r="C810" s="1" t="s">
        <v>10</v>
      </c>
      <c r="D810" s="1" t="s">
        <v>11</v>
      </c>
      <c r="E810" s="9">
        <v>45590.0</v>
      </c>
      <c r="F810" s="2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7">
        <v>45590.38644675926</v>
      </c>
      <c r="B811" s="8" t="s">
        <v>1832</v>
      </c>
      <c r="C811" s="1" t="s">
        <v>36</v>
      </c>
      <c r="D811" s="1" t="s">
        <v>11</v>
      </c>
      <c r="E811" s="9">
        <v>45590.0</v>
      </c>
      <c r="F811" s="2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7">
        <v>45587.5190162037</v>
      </c>
      <c r="B812" s="8" t="s">
        <v>1835</v>
      </c>
      <c r="C812" s="1" t="s">
        <v>24</v>
      </c>
      <c r="D812" s="1" t="s">
        <v>11</v>
      </c>
      <c r="E812" s="9">
        <v>45587.0</v>
      </c>
      <c r="F812" s="2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7">
        <v>45587.51767361111</v>
      </c>
      <c r="B813" s="8" t="s">
        <v>1837</v>
      </c>
      <c r="C813" s="1" t="s">
        <v>24</v>
      </c>
      <c r="D813" s="1" t="s">
        <v>11</v>
      </c>
      <c r="E813" s="9">
        <v>45587.0</v>
      </c>
      <c r="F813" s="2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7">
        <v>45584.906909722224</v>
      </c>
      <c r="B814" s="8" t="s">
        <v>1838</v>
      </c>
      <c r="C814" s="1" t="s">
        <v>36</v>
      </c>
      <c r="D814" s="1" t="s">
        <v>11</v>
      </c>
      <c r="E814" s="9">
        <v>45584.0</v>
      </c>
      <c r="F814" s="2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7">
        <v>45584.834178240744</v>
      </c>
      <c r="B815" s="8" t="s">
        <v>1840</v>
      </c>
      <c r="C815" s="1" t="s">
        <v>24</v>
      </c>
      <c r="D815" s="1" t="s">
        <v>11</v>
      </c>
      <c r="E815" s="9">
        <v>45584.0</v>
      </c>
      <c r="F815" s="2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7">
        <v>45584.83152777778</v>
      </c>
      <c r="B816" s="8" t="s">
        <v>1842</v>
      </c>
      <c r="C816" s="1" t="s">
        <v>10</v>
      </c>
      <c r="D816" s="1" t="s">
        <v>11</v>
      </c>
      <c r="E816" s="9">
        <v>45584.0</v>
      </c>
      <c r="F816" s="2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7">
        <v>45584.82648148148</v>
      </c>
      <c r="B817" s="8" t="s">
        <v>1843</v>
      </c>
      <c r="C817" s="1" t="s">
        <v>15</v>
      </c>
      <c r="D817" s="1" t="s">
        <v>11</v>
      </c>
      <c r="E817" s="9">
        <v>45584.0</v>
      </c>
      <c r="F817" s="2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7">
        <v>45584.8209375</v>
      </c>
      <c r="B818" s="8" t="s">
        <v>1846</v>
      </c>
      <c r="C818" s="1" t="s">
        <v>24</v>
      </c>
      <c r="D818" s="1" t="s">
        <v>11</v>
      </c>
      <c r="E818" s="9">
        <v>45584.0</v>
      </c>
      <c r="F818" s="2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7">
        <v>45584.81983796296</v>
      </c>
      <c r="B819" s="8" t="s">
        <v>1847</v>
      </c>
      <c r="C819" s="1" t="s">
        <v>15</v>
      </c>
      <c r="D819" s="1" t="s">
        <v>11</v>
      </c>
      <c r="E819" s="9">
        <v>45584.0</v>
      </c>
      <c r="F819" s="2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7">
        <v>45584.817928240744</v>
      </c>
      <c r="B820" s="8" t="s">
        <v>1850</v>
      </c>
      <c r="C820" s="1" t="s">
        <v>36</v>
      </c>
      <c r="D820" s="1" t="s">
        <v>11</v>
      </c>
      <c r="E820" s="9">
        <v>45584.0</v>
      </c>
      <c r="F820" s="2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7">
        <v>45567.41950231481</v>
      </c>
      <c r="B821" s="8" t="s">
        <v>1851</v>
      </c>
      <c r="C821" s="1" t="s">
        <v>24</v>
      </c>
      <c r="D821" s="1" t="s">
        <v>11</v>
      </c>
      <c r="E821" s="9">
        <v>45567.0</v>
      </c>
      <c r="F821" s="2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7">
        <v>45566.392384259256</v>
      </c>
      <c r="B822" s="8" t="s">
        <v>1854</v>
      </c>
      <c r="C822" s="1" t="s">
        <v>24</v>
      </c>
      <c r="D822" s="1" t="s">
        <v>11</v>
      </c>
      <c r="E822" s="9">
        <v>45566.0</v>
      </c>
      <c r="F822" s="2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7">
        <v>45566.38416666666</v>
      </c>
      <c r="B823" s="8" t="s">
        <v>1857</v>
      </c>
      <c r="C823" s="1" t="s">
        <v>73</v>
      </c>
      <c r="D823" s="1" t="s">
        <v>11</v>
      </c>
      <c r="E823" s="9">
        <v>45566.0</v>
      </c>
      <c r="F823" s="2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7">
        <v>45566.36179398148</v>
      </c>
      <c r="B824" s="8" t="s">
        <v>1860</v>
      </c>
      <c r="C824" s="1" t="s">
        <v>24</v>
      </c>
      <c r="D824" s="1" t="s">
        <v>11</v>
      </c>
      <c r="E824" s="9">
        <v>45566.0</v>
      </c>
      <c r="F824" s="2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7">
        <v>45566.360659722224</v>
      </c>
      <c r="B825" s="8" t="s">
        <v>1861</v>
      </c>
      <c r="C825" s="1" t="s">
        <v>15</v>
      </c>
      <c r="D825" s="1" t="s">
        <v>11</v>
      </c>
      <c r="E825" s="9">
        <v>45566.0</v>
      </c>
      <c r="F825" s="2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7">
        <v>45566.35884259259</v>
      </c>
      <c r="B826" s="8" t="s">
        <v>1864</v>
      </c>
      <c r="C826" s="1" t="s">
        <v>73</v>
      </c>
      <c r="D826" s="1" t="s">
        <v>11</v>
      </c>
      <c r="E826" s="9">
        <v>45566.0</v>
      </c>
      <c r="F826" s="2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7">
        <v>45558.348645833335</v>
      </c>
      <c r="B827" s="8" t="s">
        <v>1865</v>
      </c>
      <c r="C827" s="1" t="s">
        <v>24</v>
      </c>
      <c r="D827" s="1" t="s">
        <v>11</v>
      </c>
      <c r="E827" s="9">
        <v>45558.0</v>
      </c>
      <c r="F827" s="2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7">
        <v>45556.425046296295</v>
      </c>
      <c r="B828" s="8" t="s">
        <v>1868</v>
      </c>
      <c r="C828" s="1" t="s">
        <v>73</v>
      </c>
      <c r="D828" s="1" t="s">
        <v>11</v>
      </c>
      <c r="E828" s="9">
        <v>45556.0</v>
      </c>
      <c r="F828" s="2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7">
        <v>45556.424212962964</v>
      </c>
      <c r="B829" s="8" t="s">
        <v>1869</v>
      </c>
      <c r="C829" s="1" t="s">
        <v>19</v>
      </c>
      <c r="D829" s="1" t="s">
        <v>11</v>
      </c>
      <c r="E829" s="9">
        <v>45556.0</v>
      </c>
      <c r="F829" s="2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7">
        <v>45556.33074074074</v>
      </c>
      <c r="B830" s="8" t="s">
        <v>1871</v>
      </c>
      <c r="C830" s="1" t="s">
        <v>15</v>
      </c>
      <c r="D830" s="1" t="s">
        <v>11</v>
      </c>
      <c r="E830" s="9">
        <v>45556.0</v>
      </c>
      <c r="F830" s="2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7">
        <v>45556.31328703704</v>
      </c>
      <c r="B831" s="8" t="s">
        <v>1873</v>
      </c>
      <c r="C831" s="1" t="s">
        <v>15</v>
      </c>
      <c r="D831" s="1" t="s">
        <v>11</v>
      </c>
      <c r="E831" s="9">
        <v>45556.0</v>
      </c>
      <c r="F831" s="2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7">
        <v>45556.30716435185</v>
      </c>
      <c r="B832" s="8" t="s">
        <v>1875</v>
      </c>
      <c r="C832" s="1" t="s">
        <v>24</v>
      </c>
      <c r="D832" s="1" t="s">
        <v>11</v>
      </c>
      <c r="E832" s="9">
        <v>45556.0</v>
      </c>
      <c r="F832" s="2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7">
        <v>45556.30631944445</v>
      </c>
      <c r="B833" s="8" t="s">
        <v>1876</v>
      </c>
      <c r="C833" s="1" t="s">
        <v>24</v>
      </c>
      <c r="D833" s="1" t="s">
        <v>11</v>
      </c>
      <c r="E833" s="9">
        <v>45556.0</v>
      </c>
      <c r="F833" s="2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7">
        <v>45556.30133101852</v>
      </c>
      <c r="B834" s="8" t="s">
        <v>1880</v>
      </c>
      <c r="C834" s="1" t="s">
        <v>24</v>
      </c>
      <c r="D834" s="1" t="s">
        <v>11</v>
      </c>
      <c r="E834" s="9">
        <v>45556.0</v>
      </c>
      <c r="F834" s="2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7">
        <v>45556.28023148148</v>
      </c>
      <c r="B835" s="8" t="s">
        <v>1881</v>
      </c>
      <c r="C835" s="1" t="s">
        <v>24</v>
      </c>
      <c r="D835" s="1" t="s">
        <v>11</v>
      </c>
      <c r="E835" s="9">
        <v>45556.0</v>
      </c>
      <c r="F835" s="2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7">
        <v>45556.27893518518</v>
      </c>
      <c r="B836" s="8" t="s">
        <v>1884</v>
      </c>
      <c r="C836" s="1" t="s">
        <v>24</v>
      </c>
      <c r="D836" s="1" t="s">
        <v>11</v>
      </c>
      <c r="E836" s="9">
        <v>45556.0</v>
      </c>
      <c r="F836" s="2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7">
        <v>45555.8437962963</v>
      </c>
      <c r="B837" s="8" t="s">
        <v>1887</v>
      </c>
      <c r="C837" s="1" t="s">
        <v>10</v>
      </c>
      <c r="D837" s="1" t="s">
        <v>11</v>
      </c>
      <c r="E837" s="9">
        <v>45555.0</v>
      </c>
      <c r="F837" s="2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7">
        <v>45555.830034722225</v>
      </c>
      <c r="B838" s="8" t="s">
        <v>1889</v>
      </c>
      <c r="C838" s="1" t="s">
        <v>10</v>
      </c>
      <c r="D838" s="1" t="s">
        <v>11</v>
      </c>
      <c r="E838" s="9">
        <v>45555.0</v>
      </c>
      <c r="F838" s="2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7">
        <v>45543.756064814814</v>
      </c>
      <c r="B839" s="8" t="s">
        <v>1890</v>
      </c>
      <c r="C839" s="1" t="s">
        <v>24</v>
      </c>
      <c r="D839" s="1" t="s">
        <v>11</v>
      </c>
      <c r="E839" s="9">
        <v>45543.0</v>
      </c>
      <c r="F839" s="2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7">
        <v>45540.41140046297</v>
      </c>
      <c r="B840" s="8" t="s">
        <v>1894</v>
      </c>
      <c r="C840" s="1" t="s">
        <v>24</v>
      </c>
      <c r="D840" s="1" t="s">
        <v>11</v>
      </c>
      <c r="E840" s="9">
        <v>45540.0</v>
      </c>
      <c r="F840" s="2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7">
        <v>45540.3993287037</v>
      </c>
      <c r="B841" s="8" t="s">
        <v>1897</v>
      </c>
      <c r="C841" s="1" t="s">
        <v>36</v>
      </c>
      <c r="D841" s="1" t="s">
        <v>11</v>
      </c>
      <c r="E841" s="9">
        <v>45540.0</v>
      </c>
      <c r="F841" s="2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7">
        <v>45539.65353009259</v>
      </c>
      <c r="B842" s="8" t="s">
        <v>1900</v>
      </c>
      <c r="C842" s="1" t="s">
        <v>19</v>
      </c>
      <c r="D842" s="1" t="s">
        <v>11</v>
      </c>
      <c r="E842" s="9">
        <v>45539.0</v>
      </c>
      <c r="F842" s="2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7">
        <v>45539.4212962963</v>
      </c>
      <c r="B843" s="8" t="s">
        <v>1903</v>
      </c>
      <c r="C843" s="1" t="s">
        <v>73</v>
      </c>
      <c r="D843" s="1" t="s">
        <v>11</v>
      </c>
      <c r="E843" s="9">
        <v>45539.0</v>
      </c>
      <c r="F843" s="2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7">
        <v>45539.41997685185</v>
      </c>
      <c r="B844" s="8" t="s">
        <v>1906</v>
      </c>
      <c r="C844" s="1" t="s">
        <v>15</v>
      </c>
      <c r="D844" s="1" t="s">
        <v>11</v>
      </c>
      <c r="E844" s="9">
        <v>45539.0</v>
      </c>
      <c r="F844" s="2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7">
        <v>45539.416493055556</v>
      </c>
      <c r="B845" s="8" t="s">
        <v>1907</v>
      </c>
      <c r="C845" s="1" t="s">
        <v>24</v>
      </c>
      <c r="D845" s="1" t="s">
        <v>11</v>
      </c>
      <c r="E845" s="9">
        <v>45539.0</v>
      </c>
      <c r="F845" s="2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7">
        <v>45539.40707175926</v>
      </c>
      <c r="B846" s="8" t="s">
        <v>1910</v>
      </c>
      <c r="C846" s="1" t="s">
        <v>24</v>
      </c>
      <c r="D846" s="1" t="s">
        <v>11</v>
      </c>
      <c r="E846" s="9">
        <v>45539.0</v>
      </c>
      <c r="F846" s="2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7">
        <v>45539.393599537034</v>
      </c>
      <c r="B847" s="8" t="s">
        <v>1913</v>
      </c>
      <c r="C847" s="1" t="s">
        <v>24</v>
      </c>
      <c r="D847" s="1" t="s">
        <v>11</v>
      </c>
      <c r="E847" s="9">
        <v>45539.0</v>
      </c>
      <c r="F847" s="2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7">
        <v>45539.39166666667</v>
      </c>
      <c r="B848" s="8" t="s">
        <v>1915</v>
      </c>
      <c r="C848" s="1" t="s">
        <v>24</v>
      </c>
      <c r="D848" s="1" t="s">
        <v>11</v>
      </c>
      <c r="E848" s="9">
        <v>45539.0</v>
      </c>
      <c r="F848" s="2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7">
        <v>45536.78517361111</v>
      </c>
      <c r="B849" s="8" t="s">
        <v>1918</v>
      </c>
      <c r="C849" s="1" t="s">
        <v>15</v>
      </c>
      <c r="D849" s="1" t="s">
        <v>11</v>
      </c>
      <c r="E849" s="9">
        <v>45536.0</v>
      </c>
      <c r="F849" s="2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7">
        <v>45536.775289351855</v>
      </c>
      <c r="B850" s="8" t="s">
        <v>1919</v>
      </c>
      <c r="C850" s="1" t="s">
        <v>73</v>
      </c>
      <c r="D850" s="1" t="s">
        <v>11</v>
      </c>
      <c r="E850" s="9">
        <v>45536.0</v>
      </c>
      <c r="F850" s="2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7">
        <v>45536.77329861111</v>
      </c>
      <c r="B851" s="8" t="s">
        <v>1922</v>
      </c>
      <c r="C851" s="1" t="s">
        <v>15</v>
      </c>
      <c r="D851" s="1" t="s">
        <v>11</v>
      </c>
      <c r="E851" s="9">
        <v>45536.0</v>
      </c>
      <c r="F851" s="2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7">
        <v>45536.768958333334</v>
      </c>
      <c r="B852" s="8" t="s">
        <v>1925</v>
      </c>
      <c r="C852" s="1" t="s">
        <v>24</v>
      </c>
      <c r="D852" s="1" t="s">
        <v>11</v>
      </c>
      <c r="E852" s="9">
        <v>45536.0</v>
      </c>
      <c r="F852" s="2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7">
        <v>45536.76641203704</v>
      </c>
      <c r="B853" s="8" t="s">
        <v>1926</v>
      </c>
      <c r="C853" s="1" t="s">
        <v>24</v>
      </c>
      <c r="D853" s="1" t="s">
        <v>11</v>
      </c>
      <c r="E853" s="9">
        <v>45536.0</v>
      </c>
      <c r="F853" s="2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7">
        <v>45532.409583333334</v>
      </c>
      <c r="B854" s="8" t="s">
        <v>1930</v>
      </c>
      <c r="C854" s="1" t="s">
        <v>24</v>
      </c>
      <c r="D854" s="1" t="s">
        <v>11</v>
      </c>
      <c r="E854" s="9">
        <v>45532.0</v>
      </c>
      <c r="F854" s="2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7">
        <v>45529.85193287037</v>
      </c>
      <c r="B855" s="8" t="s">
        <v>1931</v>
      </c>
      <c r="C855" s="1" t="s">
        <v>24</v>
      </c>
      <c r="D855" s="1" t="s">
        <v>11</v>
      </c>
      <c r="E855" s="9">
        <v>45529.0</v>
      </c>
      <c r="F855" s="2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7">
        <v>45529.849652777775</v>
      </c>
      <c r="B856" s="8" t="s">
        <v>1935</v>
      </c>
      <c r="C856" s="1" t="s">
        <v>24</v>
      </c>
      <c r="D856" s="1" t="s">
        <v>11</v>
      </c>
      <c r="E856" s="9">
        <v>45529.0</v>
      </c>
      <c r="F856" s="2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7">
        <v>45529.847407407404</v>
      </c>
      <c r="B857" s="8" t="s">
        <v>1936</v>
      </c>
      <c r="C857" s="1" t="s">
        <v>24</v>
      </c>
      <c r="D857" s="1" t="s">
        <v>11</v>
      </c>
      <c r="E857" s="9">
        <v>45529.0</v>
      </c>
      <c r="F857" s="2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7">
        <v>45529.83907407407</v>
      </c>
      <c r="B858" s="8" t="s">
        <v>1938</v>
      </c>
      <c r="C858" s="1" t="s">
        <v>36</v>
      </c>
      <c r="D858" s="1" t="s">
        <v>11</v>
      </c>
      <c r="E858" s="9">
        <v>45529.0</v>
      </c>
      <c r="F858" s="2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7">
        <v>45529.820810185185</v>
      </c>
      <c r="B859" s="8" t="s">
        <v>1940</v>
      </c>
      <c r="C859" s="1" t="s">
        <v>24</v>
      </c>
      <c r="D859" s="1" t="s">
        <v>11</v>
      </c>
      <c r="E859" s="9">
        <v>45529.0</v>
      </c>
      <c r="F859" s="2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7">
        <v>45529.81532407407</v>
      </c>
      <c r="B860" s="8" t="s">
        <v>1942</v>
      </c>
      <c r="C860" s="1" t="s">
        <v>24</v>
      </c>
      <c r="D860" s="1" t="s">
        <v>11</v>
      </c>
      <c r="E860" s="9">
        <v>45529.0</v>
      </c>
      <c r="F860" s="2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7">
        <v>45529.80956018518</v>
      </c>
      <c r="B861" s="8" t="s">
        <v>1946</v>
      </c>
      <c r="C861" s="1" t="s">
        <v>15</v>
      </c>
      <c r="D861" s="1" t="s">
        <v>11</v>
      </c>
      <c r="E861" s="9">
        <v>45529.0</v>
      </c>
      <c r="F861" s="2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7">
        <v>45529.80703703704</v>
      </c>
      <c r="B862" s="8" t="s">
        <v>1950</v>
      </c>
      <c r="C862" s="1" t="s">
        <v>24</v>
      </c>
      <c r="D862" s="1" t="s">
        <v>11</v>
      </c>
      <c r="E862" s="9">
        <v>45529.0</v>
      </c>
      <c r="F862" s="2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7">
        <v>45529.80055555556</v>
      </c>
      <c r="B863" s="8" t="s">
        <v>1952</v>
      </c>
      <c r="C863" s="1" t="s">
        <v>24</v>
      </c>
      <c r="D863" s="1" t="s">
        <v>11</v>
      </c>
      <c r="E863" s="9">
        <v>45529.0</v>
      </c>
      <c r="F863" s="2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7">
        <v>45529.79546296296</v>
      </c>
      <c r="B864" s="8" t="s">
        <v>1954</v>
      </c>
      <c r="C864" s="1" t="s">
        <v>24</v>
      </c>
      <c r="D864" s="1" t="s">
        <v>11</v>
      </c>
      <c r="E864" s="9">
        <v>45529.0</v>
      </c>
      <c r="F864" s="2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7">
        <v>45529.79456018518</v>
      </c>
      <c r="B865" s="8" t="s">
        <v>1959</v>
      </c>
      <c r="C865" s="1" t="s">
        <v>24</v>
      </c>
      <c r="D865" s="1" t="s">
        <v>11</v>
      </c>
      <c r="E865" s="9">
        <v>45529.0</v>
      </c>
      <c r="F865" s="2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7">
        <v>45529.792662037034</v>
      </c>
      <c r="B866" s="8" t="s">
        <v>1960</v>
      </c>
      <c r="C866" s="1" t="s">
        <v>24</v>
      </c>
      <c r="D866" s="1" t="s">
        <v>11</v>
      </c>
      <c r="E866" s="9">
        <v>45529.0</v>
      </c>
      <c r="F866" s="2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7">
        <v>45529.53282407407</v>
      </c>
      <c r="B867" s="8" t="s">
        <v>1963</v>
      </c>
      <c r="C867" s="1" t="s">
        <v>24</v>
      </c>
      <c r="D867" s="1" t="s">
        <v>11</v>
      </c>
      <c r="E867" s="9">
        <v>45529.0</v>
      </c>
      <c r="F867" s="2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7">
        <v>45529.52715277778</v>
      </c>
      <c r="B868" s="8" t="s">
        <v>1964</v>
      </c>
      <c r="C868" s="1" t="s">
        <v>10</v>
      </c>
      <c r="D868" s="1" t="s">
        <v>11</v>
      </c>
      <c r="E868" s="9">
        <v>45529.0</v>
      </c>
      <c r="F868" s="2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7">
        <v>45522.40938657407</v>
      </c>
      <c r="B869" s="8" t="s">
        <v>1969</v>
      </c>
      <c r="C869" s="1" t="s">
        <v>36</v>
      </c>
      <c r="D869" s="1" t="s">
        <v>11</v>
      </c>
      <c r="E869" s="9">
        <v>45522.0</v>
      </c>
      <c r="F869" s="2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7">
        <v>45522.38689814815</v>
      </c>
      <c r="B870" s="8" t="s">
        <v>1971</v>
      </c>
      <c r="C870" s="1" t="s">
        <v>24</v>
      </c>
      <c r="D870" s="1" t="s">
        <v>11</v>
      </c>
      <c r="E870" s="9">
        <v>45522.0</v>
      </c>
      <c r="F870" s="2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7">
        <v>45520.9422337963</v>
      </c>
      <c r="B871" s="8" t="s">
        <v>1974</v>
      </c>
      <c r="C871" s="1" t="s">
        <v>24</v>
      </c>
      <c r="D871" s="1" t="s">
        <v>11</v>
      </c>
      <c r="E871" s="9">
        <v>45520.0</v>
      </c>
      <c r="F871" s="2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7">
        <v>45520.934953703705</v>
      </c>
      <c r="B872" s="8" t="s">
        <v>1978</v>
      </c>
      <c r="C872" s="1" t="s">
        <v>24</v>
      </c>
      <c r="D872" s="1" t="s">
        <v>11</v>
      </c>
      <c r="E872" s="9">
        <v>45520.0</v>
      </c>
      <c r="F872" s="2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7">
        <v>45520.92847222222</v>
      </c>
      <c r="B873" s="8" t="s">
        <v>1982</v>
      </c>
      <c r="C873" s="1" t="s">
        <v>15</v>
      </c>
      <c r="D873" s="1" t="s">
        <v>11</v>
      </c>
      <c r="E873" s="9">
        <v>45520.0</v>
      </c>
      <c r="F873" s="2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7">
        <v>45520.926458333335</v>
      </c>
      <c r="B874" s="8" t="s">
        <v>1983</v>
      </c>
      <c r="C874" s="1" t="s">
        <v>36</v>
      </c>
      <c r="D874" s="1" t="s">
        <v>11</v>
      </c>
      <c r="E874" s="9">
        <v>45520.0</v>
      </c>
      <c r="F874" s="2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7">
        <v>45520.91543981482</v>
      </c>
      <c r="B875" s="8" t="s">
        <v>1987</v>
      </c>
      <c r="C875" s="1" t="s">
        <v>19</v>
      </c>
      <c r="D875" s="1" t="s">
        <v>11</v>
      </c>
      <c r="E875" s="9">
        <v>45520.0</v>
      </c>
      <c r="F875" s="2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7">
        <v>45520.8852662037</v>
      </c>
      <c r="B876" s="8" t="s">
        <v>1993</v>
      </c>
      <c r="C876" s="1" t="s">
        <v>36</v>
      </c>
      <c r="D876" s="1" t="s">
        <v>11</v>
      </c>
      <c r="E876" s="9">
        <v>45520.0</v>
      </c>
      <c r="F876" s="2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7">
        <v>45520.86172453704</v>
      </c>
      <c r="B877" s="8" t="s">
        <v>1995</v>
      </c>
      <c r="C877" s="1" t="s">
        <v>24</v>
      </c>
      <c r="D877" s="1" t="s">
        <v>11</v>
      </c>
      <c r="E877" s="9">
        <v>45520.0</v>
      </c>
      <c r="F877" s="2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7">
        <v>45516.48956018518</v>
      </c>
      <c r="B878" s="8" t="s">
        <v>2000</v>
      </c>
      <c r="C878" s="1" t="s">
        <v>10</v>
      </c>
      <c r="D878" s="1" t="s">
        <v>11</v>
      </c>
      <c r="E878" s="9">
        <v>45516.0</v>
      </c>
      <c r="F878" s="2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7">
        <v>45516.461539351854</v>
      </c>
      <c r="B879" s="8" t="s">
        <v>2002</v>
      </c>
      <c r="C879" s="1" t="s">
        <v>36</v>
      </c>
      <c r="D879" s="1" t="s">
        <v>11</v>
      </c>
      <c r="E879" s="9">
        <v>45516.0</v>
      </c>
      <c r="F879" s="2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7">
        <v>45514.75087962963</v>
      </c>
      <c r="B880" s="8" t="s">
        <v>2008</v>
      </c>
      <c r="C880" s="1" t="s">
        <v>24</v>
      </c>
      <c r="D880" s="1" t="s">
        <v>11</v>
      </c>
      <c r="E880" s="9">
        <v>45514.0</v>
      </c>
      <c r="F880" s="2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7">
        <v>45510.297951388886</v>
      </c>
      <c r="B881" s="8" t="s">
        <v>2013</v>
      </c>
      <c r="C881" s="1" t="s">
        <v>36</v>
      </c>
      <c r="D881" s="1" t="s">
        <v>11</v>
      </c>
      <c r="E881" s="9">
        <v>45510.0</v>
      </c>
      <c r="F881" s="2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7">
        <v>45510.288460648146</v>
      </c>
      <c r="B882" s="8" t="s">
        <v>2014</v>
      </c>
      <c r="C882" s="1" t="s">
        <v>15</v>
      </c>
      <c r="D882" s="1" t="s">
        <v>11</v>
      </c>
      <c r="E882" s="9">
        <v>45510.0</v>
      </c>
      <c r="F882" s="2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7">
        <v>45510.28665509259</v>
      </c>
      <c r="B883" s="8" t="s">
        <v>2018</v>
      </c>
      <c r="C883" s="1" t="s">
        <v>36</v>
      </c>
      <c r="D883" s="1" t="s">
        <v>11</v>
      </c>
      <c r="E883" s="9">
        <v>45510.0</v>
      </c>
      <c r="F883" s="2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7">
        <v>45510.265393518515</v>
      </c>
      <c r="B884" s="8" t="s">
        <v>2019</v>
      </c>
      <c r="C884" s="1" t="s">
        <v>36</v>
      </c>
      <c r="D884" s="1" t="s">
        <v>11</v>
      </c>
      <c r="E884" s="9">
        <v>45510.0</v>
      </c>
      <c r="F884" s="2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7">
        <v>45510.24453703704</v>
      </c>
      <c r="B885" s="8" t="s">
        <v>2024</v>
      </c>
      <c r="C885" s="1" t="s">
        <v>19</v>
      </c>
      <c r="D885" s="1" t="s">
        <v>11</v>
      </c>
      <c r="E885" s="9">
        <v>45510.0</v>
      </c>
      <c r="F885" s="2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7">
        <v>45505.39175925926</v>
      </c>
      <c r="B886" s="8" t="s">
        <v>2029</v>
      </c>
      <c r="C886" s="1" t="s">
        <v>24</v>
      </c>
      <c r="D886" s="1" t="s">
        <v>11</v>
      </c>
      <c r="E886" s="9">
        <v>45505.0</v>
      </c>
      <c r="F886" s="2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7">
        <v>45505.38799768518</v>
      </c>
      <c r="B887" s="8" t="s">
        <v>2030</v>
      </c>
      <c r="C887" s="1" t="s">
        <v>19</v>
      </c>
      <c r="D887" s="1" t="s">
        <v>11</v>
      </c>
      <c r="E887" s="9">
        <v>45505.0</v>
      </c>
      <c r="F887" s="2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7">
        <v>45504.4068287037</v>
      </c>
      <c r="B888" s="8" t="s">
        <v>2035</v>
      </c>
      <c r="C888" s="1" t="s">
        <v>36</v>
      </c>
      <c r="D888" s="1" t="s">
        <v>11</v>
      </c>
      <c r="E888" s="9">
        <v>45504.0</v>
      </c>
      <c r="F888" s="2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7">
        <v>45504.387719907405</v>
      </c>
      <c r="B889" s="8" t="s">
        <v>2036</v>
      </c>
      <c r="C889" s="1" t="s">
        <v>36</v>
      </c>
      <c r="D889" s="1" t="s">
        <v>11</v>
      </c>
      <c r="E889" s="9">
        <v>45504.0</v>
      </c>
      <c r="F889" s="2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7">
        <v>45504.37871527778</v>
      </c>
      <c r="B890" s="8" t="s">
        <v>2041</v>
      </c>
      <c r="C890" s="1" t="s">
        <v>24</v>
      </c>
      <c r="D890" s="1" t="s">
        <v>11</v>
      </c>
      <c r="E890" s="9">
        <v>45504.0</v>
      </c>
      <c r="F890" s="2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7">
        <v>45504.377650462964</v>
      </c>
      <c r="B891" s="8" t="s">
        <v>2044</v>
      </c>
      <c r="C891" s="1" t="s">
        <v>15</v>
      </c>
      <c r="D891" s="1" t="s">
        <v>11</v>
      </c>
      <c r="E891" s="9">
        <v>45504.0</v>
      </c>
      <c r="F891" s="2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7">
        <v>45504.37590277778</v>
      </c>
      <c r="B892" s="8" t="s">
        <v>2046</v>
      </c>
      <c r="C892" s="1" t="s">
        <v>36</v>
      </c>
      <c r="D892" s="1" t="s">
        <v>11</v>
      </c>
      <c r="E892" s="9">
        <v>45504.0</v>
      </c>
      <c r="F892" s="2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7">
        <v>45504.36555555555</v>
      </c>
      <c r="B893" s="8" t="s">
        <v>2048</v>
      </c>
      <c r="C893" s="1" t="s">
        <v>36</v>
      </c>
      <c r="D893" s="1" t="s">
        <v>11</v>
      </c>
      <c r="E893" s="9">
        <v>45504.0</v>
      </c>
      <c r="F893" s="2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7">
        <v>45504.329409722224</v>
      </c>
      <c r="B894" s="8" t="s">
        <v>2054</v>
      </c>
      <c r="C894" s="1" t="s">
        <v>24</v>
      </c>
      <c r="D894" s="1" t="s">
        <v>11</v>
      </c>
      <c r="E894" s="9">
        <v>45504.0</v>
      </c>
      <c r="F894" s="2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7">
        <v>45504.325</v>
      </c>
      <c r="B895" s="8" t="s">
        <v>2056</v>
      </c>
      <c r="C895" s="1" t="s">
        <v>10</v>
      </c>
      <c r="D895" s="1" t="s">
        <v>11</v>
      </c>
      <c r="E895" s="9">
        <v>45504.0</v>
      </c>
      <c r="F895" s="2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7">
        <v>45504.31291666667</v>
      </c>
      <c r="B896" s="8" t="s">
        <v>2060</v>
      </c>
      <c r="C896" s="1" t="s">
        <v>10</v>
      </c>
      <c r="D896" s="1" t="s">
        <v>11</v>
      </c>
      <c r="E896" s="9">
        <v>45504.0</v>
      </c>
      <c r="F896" s="2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7">
        <v>45504.30091435185</v>
      </c>
      <c r="B897" s="8" t="s">
        <v>2065</v>
      </c>
      <c r="C897" s="1" t="s">
        <v>24</v>
      </c>
      <c r="D897" s="1" t="s">
        <v>11</v>
      </c>
      <c r="E897" s="9">
        <v>45504.0</v>
      </c>
      <c r="F897" s="2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7">
        <v>45504.29951388889</v>
      </c>
      <c r="B898" s="8" t="s">
        <v>2066</v>
      </c>
      <c r="C898" s="1" t="s">
        <v>15</v>
      </c>
      <c r="D898" s="1" t="s">
        <v>11</v>
      </c>
      <c r="E898" s="9">
        <v>45504.0</v>
      </c>
      <c r="F898" s="2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7">
        <v>45504.29785879629</v>
      </c>
      <c r="B899" s="8" t="s">
        <v>2067</v>
      </c>
      <c r="C899" s="1" t="s">
        <v>24</v>
      </c>
      <c r="D899" s="1" t="s">
        <v>11</v>
      </c>
      <c r="E899" s="9">
        <v>45504.0</v>
      </c>
      <c r="F899" s="2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7">
        <v>45504.29554398148</v>
      </c>
      <c r="B900" s="8" t="s">
        <v>2072</v>
      </c>
      <c r="C900" s="1" t="s">
        <v>36</v>
      </c>
      <c r="D900" s="1" t="s">
        <v>11</v>
      </c>
      <c r="E900" s="9">
        <v>45504.0</v>
      </c>
      <c r="F900" s="2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7">
        <v>45503.985914351855</v>
      </c>
      <c r="B901" s="8" t="s">
        <v>2077</v>
      </c>
      <c r="C901" s="1" t="s">
        <v>19</v>
      </c>
      <c r="D901" s="1" t="s">
        <v>11</v>
      </c>
      <c r="E901" s="9">
        <v>45504.0</v>
      </c>
      <c r="F901" s="2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7">
        <v>45503.98032407407</v>
      </c>
      <c r="B902" s="8" t="s">
        <v>2078</v>
      </c>
      <c r="C902" s="1" t="s">
        <v>36</v>
      </c>
      <c r="D902" s="1" t="s">
        <v>11</v>
      </c>
      <c r="E902" s="9">
        <v>45504.0</v>
      </c>
      <c r="F902" s="2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7">
        <v>45503.9533912037</v>
      </c>
      <c r="B903" s="8" t="s">
        <v>2083</v>
      </c>
      <c r="C903" s="1" t="s">
        <v>10</v>
      </c>
      <c r="D903" s="1" t="s">
        <v>11</v>
      </c>
      <c r="E903" s="9">
        <v>45503.0</v>
      </c>
      <c r="F903" s="2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7">
        <v>45503.95011574074</v>
      </c>
      <c r="B904" s="8" t="s">
        <v>2084</v>
      </c>
      <c r="C904" s="1" t="s">
        <v>36</v>
      </c>
      <c r="D904" s="1" t="s">
        <v>11</v>
      </c>
      <c r="E904" s="9">
        <v>45503.0</v>
      </c>
      <c r="F904" s="2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7">
        <v>45503.93215277778</v>
      </c>
      <c r="B905" s="8" t="s">
        <v>2087</v>
      </c>
      <c r="C905" s="1" t="s">
        <v>73</v>
      </c>
      <c r="D905" s="1" t="s">
        <v>11</v>
      </c>
      <c r="E905" s="9">
        <v>45503.0</v>
      </c>
      <c r="F905" s="2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7">
        <v>45503.93069444445</v>
      </c>
      <c r="B906" s="8" t="s">
        <v>2094</v>
      </c>
      <c r="C906" s="1" t="s">
        <v>15</v>
      </c>
      <c r="D906" s="1" t="s">
        <v>11</v>
      </c>
      <c r="E906" s="9">
        <v>45503.0</v>
      </c>
      <c r="F906" s="2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7">
        <v>45503.9278587963</v>
      </c>
      <c r="B907" s="8" t="s">
        <v>2095</v>
      </c>
      <c r="C907" s="1" t="s">
        <v>19</v>
      </c>
      <c r="D907" s="1" t="s">
        <v>11</v>
      </c>
      <c r="E907" s="9">
        <v>45503.0</v>
      </c>
      <c r="F907" s="2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7">
        <v>45503.91375</v>
      </c>
      <c r="B908" s="8" t="s">
        <v>2098</v>
      </c>
      <c r="C908" s="1" t="s">
        <v>73</v>
      </c>
      <c r="D908" s="1" t="s">
        <v>11</v>
      </c>
      <c r="E908" s="9">
        <v>45503.0</v>
      </c>
      <c r="F908" s="2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7">
        <v>45503.91196759259</v>
      </c>
      <c r="B909" s="8" t="s">
        <v>2100</v>
      </c>
      <c r="C909" s="1" t="s">
        <v>15</v>
      </c>
      <c r="D909" s="1" t="s">
        <v>11</v>
      </c>
      <c r="E909" s="9">
        <v>45503.0</v>
      </c>
      <c r="F909" s="2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7">
        <v>45503.90275462963</v>
      </c>
      <c r="B910" s="8" t="s">
        <v>2105</v>
      </c>
      <c r="C910" s="1" t="s">
        <v>24</v>
      </c>
      <c r="D910" s="1" t="s">
        <v>11</v>
      </c>
      <c r="E910" s="9">
        <v>45503.0</v>
      </c>
      <c r="F910" s="2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7">
        <v>45503.89881944445</v>
      </c>
      <c r="B911" s="8" t="s">
        <v>2106</v>
      </c>
      <c r="C911" s="1" t="s">
        <v>24</v>
      </c>
      <c r="D911" s="1" t="s">
        <v>11</v>
      </c>
      <c r="E911" s="9">
        <v>45503.0</v>
      </c>
      <c r="F911" s="2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7">
        <v>45503.87019675926</v>
      </c>
      <c r="B912" s="8" t="s">
        <v>2109</v>
      </c>
      <c r="C912" s="1" t="s">
        <v>15</v>
      </c>
      <c r="D912" s="1" t="s">
        <v>11</v>
      </c>
      <c r="E912" s="9">
        <v>45503.0</v>
      </c>
      <c r="F912" s="2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7">
        <v>45503.86850694445</v>
      </c>
      <c r="B913" s="8" t="s">
        <v>2112</v>
      </c>
      <c r="C913" s="1" t="s">
        <v>73</v>
      </c>
      <c r="D913" s="1" t="s">
        <v>11</v>
      </c>
      <c r="E913" s="9">
        <v>45503.0</v>
      </c>
      <c r="F913" s="2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7">
        <v>45503.86587962963</v>
      </c>
      <c r="B914" s="8" t="s">
        <v>2113</v>
      </c>
      <c r="C914" s="1" t="s">
        <v>24</v>
      </c>
      <c r="D914" s="1" t="s">
        <v>11</v>
      </c>
      <c r="E914" s="9">
        <v>45503.0</v>
      </c>
      <c r="F914" s="2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7">
        <v>45503.86255787037</v>
      </c>
      <c r="B915" s="8" t="s">
        <v>2118</v>
      </c>
      <c r="C915" s="1" t="s">
        <v>73</v>
      </c>
      <c r="D915" s="1" t="s">
        <v>11</v>
      </c>
      <c r="E915" s="9">
        <v>45503.0</v>
      </c>
      <c r="F915" s="2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7">
        <v>45503.37734953704</v>
      </c>
      <c r="B916" s="8" t="s">
        <v>2119</v>
      </c>
      <c r="C916" s="1" t="s">
        <v>73</v>
      </c>
      <c r="D916" s="1" t="s">
        <v>11</v>
      </c>
      <c r="E916" s="9">
        <v>45503.0</v>
      </c>
      <c r="F916" s="2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7">
        <v>45503.37584490741</v>
      </c>
      <c r="B917" s="8" t="s">
        <v>2121</v>
      </c>
      <c r="C917" s="1" t="s">
        <v>10</v>
      </c>
      <c r="D917" s="1" t="s">
        <v>11</v>
      </c>
      <c r="E917" s="9">
        <v>45503.0</v>
      </c>
      <c r="F917" s="2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7">
        <v>45503.367106481484</v>
      </c>
      <c r="B918" s="8" t="s">
        <v>2123</v>
      </c>
      <c r="C918" s="1" t="s">
        <v>36</v>
      </c>
      <c r="D918" s="1" t="s">
        <v>11</v>
      </c>
      <c r="E918" s="9">
        <v>45503.0</v>
      </c>
      <c r="F918" s="2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7">
        <v>45503.291400462964</v>
      </c>
      <c r="B919" s="8" t="s">
        <v>2124</v>
      </c>
      <c r="C919" s="1" t="s">
        <v>24</v>
      </c>
      <c r="D919" s="1" t="s">
        <v>11</v>
      </c>
      <c r="E919" s="9">
        <v>45503.0</v>
      </c>
      <c r="F919" s="2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7">
        <v>45503.28331018519</v>
      </c>
      <c r="B920" s="8" t="s">
        <v>2129</v>
      </c>
      <c r="C920" s="1" t="s">
        <v>24</v>
      </c>
      <c r="D920" s="1" t="s">
        <v>11</v>
      </c>
      <c r="E920" s="9">
        <v>45503.0</v>
      </c>
      <c r="F920" s="2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7">
        <v>45503.27069444444</v>
      </c>
      <c r="B921" s="8" t="s">
        <v>2134</v>
      </c>
      <c r="C921" s="1" t="s">
        <v>24</v>
      </c>
      <c r="D921" s="1" t="s">
        <v>11</v>
      </c>
      <c r="E921" s="9">
        <v>45503.0</v>
      </c>
      <c r="F921" s="2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7">
        <v>45502.27560185185</v>
      </c>
      <c r="B922" s="8" t="s">
        <v>2137</v>
      </c>
      <c r="C922" s="1" t="s">
        <v>24</v>
      </c>
      <c r="D922" s="1" t="s">
        <v>11</v>
      </c>
      <c r="E922" s="9">
        <v>45502.0</v>
      </c>
      <c r="F922" s="2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7">
        <v>45501.80688657407</v>
      </c>
      <c r="B923" s="8" t="s">
        <v>2139</v>
      </c>
      <c r="C923" s="1" t="s">
        <v>24</v>
      </c>
      <c r="D923" s="1" t="s">
        <v>11</v>
      </c>
      <c r="E923" s="9">
        <v>45501.0</v>
      </c>
      <c r="F923" s="2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7">
        <v>45501.79928240741</v>
      </c>
      <c r="B924" s="8" t="s">
        <v>2142</v>
      </c>
      <c r="C924" s="1" t="s">
        <v>10</v>
      </c>
      <c r="D924" s="1" t="s">
        <v>11</v>
      </c>
      <c r="E924" s="9">
        <v>45501.0</v>
      </c>
      <c r="F924" s="2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7">
        <v>45494.56686342593</v>
      </c>
      <c r="B925" s="8" t="s">
        <v>2143</v>
      </c>
      <c r="C925" s="1" t="s">
        <v>36</v>
      </c>
      <c r="D925" s="1" t="s">
        <v>11</v>
      </c>
      <c r="E925" s="9">
        <v>45494.0</v>
      </c>
      <c r="F925" s="2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7">
        <v>45494.52960648148</v>
      </c>
      <c r="B926" s="8" t="s">
        <v>2147</v>
      </c>
      <c r="C926" s="1" t="s">
        <v>36</v>
      </c>
      <c r="D926" s="1" t="s">
        <v>11</v>
      </c>
      <c r="E926" s="9">
        <v>45494.0</v>
      </c>
      <c r="F926" s="2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7">
        <v>45494.524143518516</v>
      </c>
      <c r="B927" s="8" t="s">
        <v>2148</v>
      </c>
      <c r="C927" s="1" t="s">
        <v>24</v>
      </c>
      <c r="D927" s="1" t="s">
        <v>11</v>
      </c>
      <c r="E927" s="9">
        <v>45494.0</v>
      </c>
      <c r="F927" s="2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7">
        <v>45494.52381944445</v>
      </c>
      <c r="B928" s="8" t="s">
        <v>2153</v>
      </c>
      <c r="C928" s="1" t="s">
        <v>24</v>
      </c>
      <c r="D928" s="1" t="s">
        <v>11</v>
      </c>
      <c r="E928" s="9">
        <v>45494.0</v>
      </c>
      <c r="F928" s="2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7">
        <v>45494.52271990741</v>
      </c>
      <c r="B929" s="8" t="s">
        <v>2158</v>
      </c>
      <c r="C929" s="1" t="s">
        <v>36</v>
      </c>
      <c r="D929" s="1" t="s">
        <v>11</v>
      </c>
      <c r="E929" s="9">
        <v>45494.0</v>
      </c>
      <c r="F929" s="2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7">
        <v>45494.50659722222</v>
      </c>
      <c r="B930" s="8" t="s">
        <v>2159</v>
      </c>
      <c r="C930" s="1" t="s">
        <v>36</v>
      </c>
      <c r="D930" s="1" t="s">
        <v>11</v>
      </c>
      <c r="E930" s="9">
        <v>45494.0</v>
      </c>
      <c r="F930" s="2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7">
        <v>45494.47826388889</v>
      </c>
      <c r="B931" s="8" t="s">
        <v>2163</v>
      </c>
      <c r="C931" s="1" t="s">
        <v>10</v>
      </c>
      <c r="D931" s="1" t="s">
        <v>11</v>
      </c>
      <c r="E931" s="9">
        <v>45494.0</v>
      </c>
      <c r="F931" s="2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7">
        <v>45494.47180555556</v>
      </c>
      <c r="B932" s="8" t="s">
        <v>2168</v>
      </c>
      <c r="C932" s="1" t="s">
        <v>215</v>
      </c>
      <c r="D932" s="1" t="s">
        <v>11</v>
      </c>
      <c r="E932" s="9">
        <v>45494.0</v>
      </c>
      <c r="F932" s="2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7">
        <v>45494.456828703704</v>
      </c>
      <c r="B933" s="8" t="s">
        <v>2173</v>
      </c>
      <c r="C933" s="1" t="s">
        <v>19</v>
      </c>
      <c r="D933" s="1" t="s">
        <v>11</v>
      </c>
      <c r="E933" s="9">
        <v>45494.0</v>
      </c>
      <c r="F933" s="2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7">
        <v>45494.435069444444</v>
      </c>
      <c r="B934" s="8" t="s">
        <v>2174</v>
      </c>
      <c r="C934" s="1" t="s">
        <v>73</v>
      </c>
      <c r="D934" s="1" t="s">
        <v>11</v>
      </c>
      <c r="E934" s="9">
        <v>45494.0</v>
      </c>
      <c r="F934" s="2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7">
        <v>45494.431967592594</v>
      </c>
      <c r="B935" s="8" t="s">
        <v>2179</v>
      </c>
      <c r="C935" s="1" t="s">
        <v>24</v>
      </c>
      <c r="D935" s="1" t="s">
        <v>11</v>
      </c>
      <c r="E935" s="9">
        <v>45494.0</v>
      </c>
      <c r="F935" s="2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7">
        <v>45494.42680555556</v>
      </c>
      <c r="B936" s="8" t="s">
        <v>2180</v>
      </c>
      <c r="C936" s="1" t="s">
        <v>10</v>
      </c>
      <c r="D936" s="1" t="s">
        <v>11</v>
      </c>
      <c r="E936" s="9">
        <v>45494.0</v>
      </c>
      <c r="F936" s="2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7">
        <v>45494.42228009259</v>
      </c>
      <c r="B937" s="8" t="s">
        <v>2184</v>
      </c>
      <c r="C937" s="1" t="s">
        <v>24</v>
      </c>
      <c r="D937" s="1" t="s">
        <v>11</v>
      </c>
      <c r="E937" s="9">
        <v>45494.0</v>
      </c>
      <c r="F937" s="2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7">
        <v>45494.411990740744</v>
      </c>
      <c r="B938" s="8" t="s">
        <v>2185</v>
      </c>
      <c r="C938" s="1" t="s">
        <v>36</v>
      </c>
      <c r="D938" s="1" t="s">
        <v>11</v>
      </c>
      <c r="E938" s="9">
        <v>45494.0</v>
      </c>
      <c r="F938" s="2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7">
        <v>45494.4040625</v>
      </c>
      <c r="B939" s="8" t="s">
        <v>2190</v>
      </c>
      <c r="C939" s="1" t="s">
        <v>36</v>
      </c>
      <c r="D939" s="1" t="s">
        <v>11</v>
      </c>
      <c r="E939" s="9">
        <v>45494.0</v>
      </c>
      <c r="F939" s="2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7">
        <v>45494.39728009259</v>
      </c>
      <c r="B940" s="8" t="s">
        <v>2194</v>
      </c>
      <c r="C940" s="1" t="s">
        <v>10</v>
      </c>
      <c r="D940" s="1" t="s">
        <v>11</v>
      </c>
      <c r="E940" s="9">
        <v>45494.0</v>
      </c>
      <c r="F940" s="2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7">
        <v>45494.36945601852</v>
      </c>
      <c r="B941" s="8" t="s">
        <v>2196</v>
      </c>
      <c r="C941" s="1" t="s">
        <v>10</v>
      </c>
      <c r="D941" s="1" t="s">
        <v>1127</v>
      </c>
      <c r="E941" s="9">
        <v>45494.0</v>
      </c>
      <c r="F941" s="2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7">
        <v>45482.47844907407</v>
      </c>
      <c r="B942" s="8" t="s">
        <v>2200</v>
      </c>
      <c r="C942" s="1" t="s">
        <v>24</v>
      </c>
      <c r="D942" s="1" t="s">
        <v>11</v>
      </c>
      <c r="E942" s="9">
        <v>45482.0</v>
      </c>
      <c r="F942" s="2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7">
        <v>45482.46037037037</v>
      </c>
      <c r="B943" s="8" t="s">
        <v>2204</v>
      </c>
      <c r="C943" s="1" t="s">
        <v>15</v>
      </c>
      <c r="D943" s="1" t="s">
        <v>11</v>
      </c>
      <c r="E943" s="9">
        <v>45482.0</v>
      </c>
      <c r="F943" s="2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7">
        <v>45482.42587962963</v>
      </c>
      <c r="B944" s="8" t="s">
        <v>2206</v>
      </c>
      <c r="C944" s="1" t="s">
        <v>24</v>
      </c>
      <c r="D944" s="1" t="s">
        <v>11</v>
      </c>
      <c r="E944" s="9">
        <v>45482.0</v>
      </c>
      <c r="F944" s="2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7">
        <v>45482.42357638889</v>
      </c>
      <c r="B945" s="8" t="s">
        <v>2209</v>
      </c>
      <c r="C945" s="1" t="s">
        <v>24</v>
      </c>
      <c r="D945" s="1" t="s">
        <v>11</v>
      </c>
      <c r="E945" s="9">
        <v>45482.0</v>
      </c>
      <c r="F945" s="2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7">
        <v>45482.41972222222</v>
      </c>
      <c r="B946" s="8" t="s">
        <v>2211</v>
      </c>
      <c r="C946" s="1" t="s">
        <v>24</v>
      </c>
      <c r="D946" s="1" t="s">
        <v>11</v>
      </c>
      <c r="E946" s="9">
        <v>45482.0</v>
      </c>
      <c r="F946" s="2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7">
        <v>45482.38302083333</v>
      </c>
      <c r="B947" s="8" t="s">
        <v>2212</v>
      </c>
      <c r="C947" s="1" t="s">
        <v>24</v>
      </c>
      <c r="D947" s="1" t="s">
        <v>11</v>
      </c>
      <c r="E947" s="9">
        <v>45482.0</v>
      </c>
      <c r="F947" s="2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7">
        <v>45477.6603125</v>
      </c>
      <c r="B948" s="8" t="s">
        <v>2215</v>
      </c>
      <c r="C948" s="1" t="s">
        <v>10</v>
      </c>
      <c r="D948" s="1" t="s">
        <v>11</v>
      </c>
      <c r="E948" s="9">
        <v>45477.0</v>
      </c>
      <c r="F948" s="2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7">
        <v>45477.65159722222</v>
      </c>
      <c r="B949" s="8" t="s">
        <v>2218</v>
      </c>
      <c r="C949" s="1" t="s">
        <v>10</v>
      </c>
      <c r="D949" s="1" t="s">
        <v>11</v>
      </c>
      <c r="E949" s="9">
        <v>45477.0</v>
      </c>
      <c r="F949" s="2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7">
        <v>45477.646631944444</v>
      </c>
      <c r="B950" s="8" t="s">
        <v>2223</v>
      </c>
      <c r="C950" s="1" t="s">
        <v>10</v>
      </c>
      <c r="D950" s="1" t="s">
        <v>11</v>
      </c>
      <c r="E950" s="9">
        <v>45477.0</v>
      </c>
      <c r="F950" s="2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7">
        <v>45477.63081018518</v>
      </c>
      <c r="B951" s="8" t="s">
        <v>2228</v>
      </c>
      <c r="C951" s="1" t="s">
        <v>24</v>
      </c>
      <c r="D951" s="1" t="s">
        <v>1127</v>
      </c>
      <c r="E951" s="9">
        <v>45494.0</v>
      </c>
      <c r="F951" s="2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7">
        <v>45477.61846064815</v>
      </c>
      <c r="B952" s="8" t="s">
        <v>2230</v>
      </c>
      <c r="C952" s="1" t="s">
        <v>73</v>
      </c>
      <c r="D952" s="1" t="s">
        <v>11</v>
      </c>
      <c r="E952" s="9">
        <v>45477.0</v>
      </c>
      <c r="F952" s="2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7">
        <v>45477.60747685185</v>
      </c>
      <c r="B953" s="8" t="s">
        <v>2234</v>
      </c>
      <c r="C953" s="1" t="s">
        <v>73</v>
      </c>
      <c r="D953" s="1" t="s">
        <v>11</v>
      </c>
      <c r="E953" s="9">
        <v>45477.0</v>
      </c>
      <c r="F953" s="2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7">
        <v>45477.56741898148</v>
      </c>
      <c r="B954" s="8" t="s">
        <v>2237</v>
      </c>
      <c r="C954" s="1" t="s">
        <v>10</v>
      </c>
      <c r="D954" s="1" t="s">
        <v>11</v>
      </c>
      <c r="E954" s="9">
        <v>45477.0</v>
      </c>
      <c r="F954" s="2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7">
        <v>45477.54893518519</v>
      </c>
      <c r="B955" s="8" t="s">
        <v>2239</v>
      </c>
      <c r="C955" s="1" t="s">
        <v>24</v>
      </c>
      <c r="D955" s="1" t="s">
        <v>11</v>
      </c>
      <c r="E955" s="9">
        <v>45477.0</v>
      </c>
      <c r="F955" s="2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7">
        <v>45477.537835648145</v>
      </c>
      <c r="B956" s="8" t="s">
        <v>2244</v>
      </c>
      <c r="C956" s="1" t="s">
        <v>24</v>
      </c>
      <c r="D956" s="1" t="s">
        <v>11</v>
      </c>
      <c r="E956" s="9">
        <v>45477.0</v>
      </c>
      <c r="F956" s="2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7">
        <v>45476.36949074074</v>
      </c>
      <c r="B957" s="8" t="s">
        <v>2249</v>
      </c>
      <c r="C957" s="1" t="s">
        <v>36</v>
      </c>
      <c r="D957" s="1" t="s">
        <v>11</v>
      </c>
      <c r="E957" s="9">
        <v>45476.0</v>
      </c>
      <c r="F957" s="2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7">
        <v>45476.32509259259</v>
      </c>
      <c r="B958" s="8" t="s">
        <v>2250</v>
      </c>
      <c r="C958" s="1" t="s">
        <v>10</v>
      </c>
      <c r="D958" s="1" t="s">
        <v>11</v>
      </c>
      <c r="E958" s="9">
        <v>45476.0</v>
      </c>
      <c r="F958" s="2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7">
        <v>45476.31613425926</v>
      </c>
      <c r="B959" s="8" t="s">
        <v>2255</v>
      </c>
      <c r="C959" s="1" t="s">
        <v>10</v>
      </c>
      <c r="D959" s="1" t="s">
        <v>11</v>
      </c>
      <c r="E959" s="9">
        <v>45476.0</v>
      </c>
      <c r="F959" s="2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7">
        <v>45475.28083333333</v>
      </c>
      <c r="B960" s="8" t="s">
        <v>2260</v>
      </c>
      <c r="C960" s="1" t="s">
        <v>10</v>
      </c>
      <c r="D960" s="1" t="s">
        <v>11</v>
      </c>
      <c r="E960" s="9">
        <v>45475.0</v>
      </c>
      <c r="F960" s="2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7">
        <v>45475.26574074074</v>
      </c>
      <c r="B961" s="8" t="s">
        <v>2261</v>
      </c>
      <c r="C961" s="1" t="s">
        <v>10</v>
      </c>
      <c r="D961" s="1" t="s">
        <v>11</v>
      </c>
      <c r="E961" s="9">
        <v>45475.0</v>
      </c>
      <c r="F961" s="2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7">
        <v>45475.26400462963</v>
      </c>
      <c r="B962" s="8" t="s">
        <v>2265</v>
      </c>
      <c r="C962" s="1" t="s">
        <v>10</v>
      </c>
      <c r="D962" s="1" t="s">
        <v>11</v>
      </c>
      <c r="E962" s="9">
        <v>45475.0</v>
      </c>
      <c r="F962" s="2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7">
        <v>45475.23423611111</v>
      </c>
      <c r="B963" s="8" t="s">
        <v>2270</v>
      </c>
      <c r="C963" s="1" t="s">
        <v>99</v>
      </c>
      <c r="D963" s="1" t="s">
        <v>11</v>
      </c>
      <c r="E963" s="9">
        <v>45475.0</v>
      </c>
      <c r="F963" s="2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7">
        <v>45475.232615740744</v>
      </c>
      <c r="B964" s="8" t="s">
        <v>2271</v>
      </c>
      <c r="C964" s="1" t="s">
        <v>577</v>
      </c>
      <c r="D964" s="1" t="s">
        <v>11</v>
      </c>
      <c r="E964" s="9">
        <v>45475.0</v>
      </c>
      <c r="F964" s="2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7">
        <v>45474.7309837963</v>
      </c>
      <c r="B965" s="8" t="s">
        <v>2276</v>
      </c>
      <c r="C965" s="1" t="s">
        <v>24</v>
      </c>
      <c r="D965" s="1" t="s">
        <v>11</v>
      </c>
      <c r="E965" s="9">
        <v>45474.0</v>
      </c>
      <c r="F965" s="2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7">
        <v>45474.71340277778</v>
      </c>
      <c r="B966" s="8" t="s">
        <v>2278</v>
      </c>
      <c r="C966" s="1" t="s">
        <v>10</v>
      </c>
      <c r="D966" s="1" t="s">
        <v>11</v>
      </c>
      <c r="E966" s="9">
        <v>45474.0</v>
      </c>
      <c r="F966" s="2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7">
        <v>45474.68284722222</v>
      </c>
      <c r="B967" s="8" t="s">
        <v>2282</v>
      </c>
      <c r="C967" s="1" t="s">
        <v>73</v>
      </c>
      <c r="D967" s="1" t="s">
        <v>11</v>
      </c>
      <c r="E967" s="9">
        <v>45474.0</v>
      </c>
      <c r="F967" s="2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7">
        <v>45474.66113425926</v>
      </c>
      <c r="B968" s="8" t="s">
        <v>2284</v>
      </c>
      <c r="C968" s="1" t="s">
        <v>19</v>
      </c>
      <c r="D968" s="1" t="s">
        <v>11</v>
      </c>
      <c r="E968" s="9">
        <v>45474.0</v>
      </c>
      <c r="F968" s="2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7">
        <v>45467.242118055554</v>
      </c>
      <c r="B969" s="8" t="s">
        <v>2287</v>
      </c>
      <c r="C969" s="1" t="s">
        <v>73</v>
      </c>
      <c r="D969" s="1" t="s">
        <v>11</v>
      </c>
      <c r="E969" s="9">
        <v>45467.0</v>
      </c>
      <c r="F969" s="2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7">
        <v>45467.23300925926</v>
      </c>
      <c r="B970" s="8" t="s">
        <v>2292</v>
      </c>
      <c r="C970" s="1" t="s">
        <v>24</v>
      </c>
      <c r="D970" s="1" t="s">
        <v>11</v>
      </c>
      <c r="E970" s="9">
        <v>45467.0</v>
      </c>
      <c r="F970" s="2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7">
        <v>45466.90282407407</v>
      </c>
      <c r="B971" s="8" t="s">
        <v>2297</v>
      </c>
      <c r="C971" s="1" t="s">
        <v>99</v>
      </c>
      <c r="D971" s="1" t="s">
        <v>11</v>
      </c>
      <c r="E971" s="9">
        <v>45466.0</v>
      </c>
      <c r="F971" s="2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7">
        <v>45466.902453703704</v>
      </c>
      <c r="B972" s="8" t="s">
        <v>2298</v>
      </c>
      <c r="C972" s="2"/>
      <c r="D972" s="1" t="s">
        <v>11</v>
      </c>
      <c r="E972" s="9">
        <v>45466.0</v>
      </c>
      <c r="F972" s="2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7">
        <v>45466.89482638889</v>
      </c>
      <c r="B973" s="8" t="s">
        <v>2303</v>
      </c>
      <c r="C973" s="1" t="s">
        <v>577</v>
      </c>
      <c r="D973" s="1" t="s">
        <v>11</v>
      </c>
      <c r="E973" s="9">
        <v>45466.0</v>
      </c>
      <c r="F973" s="2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7">
        <v>45466.87519675926</v>
      </c>
      <c r="B974" s="8" t="s">
        <v>2304</v>
      </c>
      <c r="C974" s="1" t="s">
        <v>24</v>
      </c>
      <c r="D974" s="1" t="s">
        <v>11</v>
      </c>
      <c r="E974" s="9">
        <v>45466.0</v>
      </c>
      <c r="F974" s="2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7">
        <v>45466.83315972222</v>
      </c>
      <c r="B975" s="8" t="s">
        <v>2309</v>
      </c>
      <c r="C975" s="1" t="s">
        <v>36</v>
      </c>
      <c r="D975" s="1" t="s">
        <v>11</v>
      </c>
      <c r="E975" s="9">
        <v>45466.0</v>
      </c>
      <c r="F975" s="2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7">
        <v>45466.78642361111</v>
      </c>
      <c r="B976" s="8" t="s">
        <v>2313</v>
      </c>
      <c r="C976" s="1" t="s">
        <v>15</v>
      </c>
      <c r="D976" s="1" t="s">
        <v>11</v>
      </c>
      <c r="E976" s="9">
        <v>45466.0</v>
      </c>
      <c r="F976" s="2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7">
        <v>45466.647523148145</v>
      </c>
      <c r="B977" s="8" t="s">
        <v>2314</v>
      </c>
      <c r="C977" s="1" t="s">
        <v>24</v>
      </c>
      <c r="D977" s="1" t="s">
        <v>11</v>
      </c>
      <c r="E977" s="9">
        <v>45466.0</v>
      </c>
      <c r="F977" s="2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7">
        <v>45466.64703703704</v>
      </c>
      <c r="B978" s="8" t="s">
        <v>2318</v>
      </c>
      <c r="C978" s="1" t="s">
        <v>24</v>
      </c>
      <c r="D978" s="1" t="s">
        <v>11</v>
      </c>
      <c r="E978" s="9">
        <v>45466.0</v>
      </c>
      <c r="F978" s="2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7">
        <v>45466.64665509259</v>
      </c>
      <c r="B979" s="8" t="s">
        <v>2322</v>
      </c>
      <c r="C979" s="1" t="s">
        <v>24</v>
      </c>
      <c r="D979" s="1" t="s">
        <v>11</v>
      </c>
      <c r="E979" s="9">
        <v>45466.0</v>
      </c>
      <c r="F979" s="2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7">
        <v>45466.64665509259</v>
      </c>
      <c r="B980" s="8" t="s">
        <v>2323</v>
      </c>
      <c r="C980" s="1" t="s">
        <v>24</v>
      </c>
      <c r="D980" s="1" t="s">
        <v>11</v>
      </c>
      <c r="E980" s="9">
        <v>45466.0</v>
      </c>
      <c r="F980" s="2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7">
        <v>45466.64665509259</v>
      </c>
      <c r="B981" s="8" t="s">
        <v>2327</v>
      </c>
      <c r="C981" s="1" t="s">
        <v>24</v>
      </c>
      <c r="D981" s="1" t="s">
        <v>11</v>
      </c>
      <c r="E981" s="9">
        <v>45466.0</v>
      </c>
      <c r="F981" s="2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7">
        <v>45466.64665509259</v>
      </c>
      <c r="B982" s="8" t="s">
        <v>2328</v>
      </c>
      <c r="C982" s="1" t="s">
        <v>24</v>
      </c>
      <c r="D982" s="1" t="s">
        <v>11</v>
      </c>
      <c r="E982" s="9">
        <v>45466.0</v>
      </c>
      <c r="F982" s="2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7">
        <v>45466.64665509259</v>
      </c>
      <c r="B983" s="8" t="s">
        <v>2333</v>
      </c>
      <c r="C983" s="1" t="s">
        <v>24</v>
      </c>
      <c r="D983" s="1" t="s">
        <v>11</v>
      </c>
      <c r="E983" s="9">
        <v>45466.0</v>
      </c>
      <c r="F983" s="2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7">
        <v>45466.64665509259</v>
      </c>
      <c r="B984" s="8" t="s">
        <v>2334</v>
      </c>
      <c r="C984" s="1" t="s">
        <v>24</v>
      </c>
      <c r="D984" s="1" t="s">
        <v>11</v>
      </c>
      <c r="E984" s="9">
        <v>45466.0</v>
      </c>
      <c r="F984" s="2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7">
        <v>45466.64665509259</v>
      </c>
      <c r="B985" s="8" t="s">
        <v>2338</v>
      </c>
      <c r="C985" s="1" t="s">
        <v>24</v>
      </c>
      <c r="D985" s="1" t="s">
        <v>11</v>
      </c>
      <c r="E985" s="9">
        <v>45466.0</v>
      </c>
      <c r="F985" s="2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7">
        <v>45466.64665509259</v>
      </c>
      <c r="B986" s="8" t="s">
        <v>2339</v>
      </c>
      <c r="C986" s="1" t="s">
        <v>24</v>
      </c>
      <c r="D986" s="1" t="s">
        <v>11</v>
      </c>
      <c r="E986" s="9">
        <v>45466.0</v>
      </c>
      <c r="F986" s="2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7">
        <v>45466.64665509259</v>
      </c>
      <c r="B987" s="8" t="s">
        <v>2341</v>
      </c>
      <c r="C987" s="1" t="s">
        <v>24</v>
      </c>
      <c r="D987" s="1" t="s">
        <v>1127</v>
      </c>
      <c r="E987" s="9">
        <v>45466.0</v>
      </c>
      <c r="F987" s="2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7">
        <v>45466.64665509259</v>
      </c>
      <c r="B988" s="8" t="s">
        <v>2342</v>
      </c>
      <c r="C988" s="1" t="s">
        <v>24</v>
      </c>
      <c r="D988" s="1" t="s">
        <v>11</v>
      </c>
      <c r="E988" s="9">
        <v>45466.0</v>
      </c>
      <c r="F988" s="2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7">
        <v>45466.64665509259</v>
      </c>
      <c r="B989" s="8" t="s">
        <v>2347</v>
      </c>
      <c r="C989" s="1" t="s">
        <v>24</v>
      </c>
      <c r="D989" s="1" t="s">
        <v>11</v>
      </c>
      <c r="E989" s="9">
        <v>45466.0</v>
      </c>
      <c r="F989" s="2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7">
        <v>45466.64550925926</v>
      </c>
      <c r="B990" s="8" t="s">
        <v>2348</v>
      </c>
      <c r="C990" s="1" t="s">
        <v>24</v>
      </c>
      <c r="D990" s="1" t="s">
        <v>1127</v>
      </c>
      <c r="E990" s="9">
        <v>45466.0</v>
      </c>
      <c r="F990" s="2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7">
        <v>45466.36366898148</v>
      </c>
      <c r="B991" s="8" t="s">
        <v>2349</v>
      </c>
      <c r="C991" s="1" t="s">
        <v>24</v>
      </c>
      <c r="D991" s="1" t="s">
        <v>11</v>
      </c>
      <c r="E991" s="9">
        <v>45466.0</v>
      </c>
      <c r="F991" s="2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7">
        <v>45466.36325231481</v>
      </c>
      <c r="B992" s="8" t="s">
        <v>2350</v>
      </c>
      <c r="C992" s="1" t="s">
        <v>24</v>
      </c>
      <c r="D992" s="1" t="s">
        <v>11</v>
      </c>
      <c r="E992" s="9">
        <v>45466.0</v>
      </c>
      <c r="F992" s="2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7">
        <v>45466.36288194444</v>
      </c>
      <c r="B993" s="8" t="s">
        <v>2351</v>
      </c>
      <c r="C993" s="1" t="s">
        <v>24</v>
      </c>
      <c r="D993" s="1" t="s">
        <v>11</v>
      </c>
      <c r="E993" s="9">
        <v>45466.0</v>
      </c>
      <c r="F993" s="2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7">
        <v>45466.362546296295</v>
      </c>
      <c r="B994" s="8" t="s">
        <v>2352</v>
      </c>
      <c r="C994" s="1" t="s">
        <v>24</v>
      </c>
      <c r="D994" s="1" t="s">
        <v>11</v>
      </c>
      <c r="E994" s="9">
        <v>45466.0</v>
      </c>
      <c r="F994" s="2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7">
        <v>45466.361909722225</v>
      </c>
      <c r="B995" s="8" t="s">
        <v>2353</v>
      </c>
      <c r="C995" s="1" t="s">
        <v>24</v>
      </c>
      <c r="D995" s="1" t="s">
        <v>11</v>
      </c>
      <c r="E995" s="9">
        <v>45466.0</v>
      </c>
      <c r="F995" s="2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7">
        <v>45466.35884259259</v>
      </c>
      <c r="B996" s="8" t="s">
        <v>2354</v>
      </c>
      <c r="C996" s="1" t="s">
        <v>24</v>
      </c>
      <c r="D996" s="1" t="s">
        <v>11</v>
      </c>
      <c r="E996" s="9">
        <v>45466.0</v>
      </c>
      <c r="F996" s="2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7">
        <v>45466.35870370371</v>
      </c>
      <c r="B997" s="8" t="s">
        <v>2355</v>
      </c>
      <c r="C997" s="1" t="s">
        <v>24</v>
      </c>
      <c r="D997" s="1" t="s">
        <v>11</v>
      </c>
      <c r="E997" s="9">
        <v>45466.0</v>
      </c>
      <c r="F997" s="2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7">
        <v>45466.358449074076</v>
      </c>
      <c r="B998" s="8" t="s">
        <v>2356</v>
      </c>
      <c r="C998" s="1" t="s">
        <v>24</v>
      </c>
      <c r="D998" s="1" t="s">
        <v>11</v>
      </c>
      <c r="E998" s="9">
        <v>45466.0</v>
      </c>
      <c r="F998" s="2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7">
        <v>45463.91131944444</v>
      </c>
      <c r="B999" s="8" t="s">
        <v>2357</v>
      </c>
      <c r="C999" s="1" t="s">
        <v>10</v>
      </c>
      <c r="D999" s="1" t="s">
        <v>11</v>
      </c>
      <c r="E999" s="9">
        <v>45463.0</v>
      </c>
      <c r="F999" s="2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7">
        <v>45463.91105324074</v>
      </c>
      <c r="B1000" s="8" t="s">
        <v>2358</v>
      </c>
      <c r="C1000" s="1" t="s">
        <v>10</v>
      </c>
      <c r="D1000" s="1" t="s">
        <v>11</v>
      </c>
      <c r="E1000" s="9">
        <v>45463.0</v>
      </c>
      <c r="F1000" s="2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16">
        <v>45463.91060185185</v>
      </c>
      <c r="B1001" s="17" t="s">
        <v>2359</v>
      </c>
      <c r="C1001" s="18" t="s">
        <v>10</v>
      </c>
      <c r="D1001" s="18" t="s">
        <v>11</v>
      </c>
      <c r="E1001" s="19">
        <v>45463.0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hyperlinks>
    <hyperlink r:id="rId1" ref="A1"/>
    <hyperlink r:id="rId2" ref="B1"/>
    <hyperlink r:id="rId3" ref="C1"/>
    <hyperlink r:id="rId4" ref="D1"/>
    <hyperlink r:id="rId5" ref="E1"/>
    <hyperlink r:id="rId6" ref="B2"/>
    <hyperlink r:id="rId7" ref="B3"/>
    <hyperlink r:id="rId8" ref="B4"/>
    <hyperlink r:id="rId9" ref="B5"/>
    <hyperlink r:id="rId10" ref="B6"/>
    <hyperlink r:id="rId11" ref="B7"/>
    <hyperlink r:id="rId12" ref="B8"/>
    <hyperlink r:id="rId13" ref="B9"/>
    <hyperlink r:id="rId14" ref="B10"/>
    <hyperlink r:id="rId15" ref="B11"/>
    <hyperlink r:id="rId16" ref="B12"/>
    <hyperlink r:id="rId17" ref="B13"/>
    <hyperlink r:id="rId18" ref="B14"/>
    <hyperlink r:id="rId19" ref="B15"/>
    <hyperlink r:id="rId20" ref="B16"/>
    <hyperlink r:id="rId21" ref="B17"/>
    <hyperlink r:id="rId22" ref="B18"/>
    <hyperlink r:id="rId23" ref="B19"/>
    <hyperlink r:id="rId24" ref="B20"/>
    <hyperlink r:id="rId25" ref="B21"/>
    <hyperlink r:id="rId26" ref="B22"/>
    <hyperlink r:id="rId27" ref="B23"/>
    <hyperlink r:id="rId28" ref="B24"/>
    <hyperlink r:id="rId29" ref="B25"/>
    <hyperlink r:id="rId30" ref="B26"/>
    <hyperlink r:id="rId31" ref="B27"/>
    <hyperlink r:id="rId32" ref="B28"/>
    <hyperlink r:id="rId33" ref="B29"/>
    <hyperlink r:id="rId34" ref="B30"/>
    <hyperlink r:id="rId35" ref="B31"/>
    <hyperlink r:id="rId36" ref="B32"/>
    <hyperlink r:id="rId37" ref="B33"/>
    <hyperlink r:id="rId38" ref="B34"/>
    <hyperlink r:id="rId39" ref="B35"/>
    <hyperlink r:id="rId40" ref="B36"/>
    <hyperlink r:id="rId41" ref="B37"/>
    <hyperlink r:id="rId42" ref="B38"/>
    <hyperlink r:id="rId43" ref="B39"/>
    <hyperlink r:id="rId44" ref="B40"/>
    <hyperlink r:id="rId45" ref="B41"/>
    <hyperlink r:id="rId46" ref="B42"/>
    <hyperlink r:id="rId47" ref="B43"/>
    <hyperlink r:id="rId48" ref="B44"/>
    <hyperlink r:id="rId49" ref="B45"/>
    <hyperlink r:id="rId50" ref="B46"/>
    <hyperlink r:id="rId51" ref="B47"/>
    <hyperlink r:id="rId52" ref="B48"/>
    <hyperlink r:id="rId53" ref="B49"/>
    <hyperlink r:id="rId54" ref="B50"/>
    <hyperlink r:id="rId55" ref="B51"/>
    <hyperlink r:id="rId56" ref="B52"/>
    <hyperlink r:id="rId57" ref="B53"/>
    <hyperlink r:id="rId58" ref="B54"/>
    <hyperlink r:id="rId59" ref="B55"/>
    <hyperlink r:id="rId60" ref="B56"/>
    <hyperlink r:id="rId61" ref="B57"/>
    <hyperlink r:id="rId62" ref="B58"/>
    <hyperlink r:id="rId63" ref="B59"/>
    <hyperlink r:id="rId64" ref="B60"/>
    <hyperlink r:id="rId65" ref="B61"/>
    <hyperlink r:id="rId66" ref="B62"/>
    <hyperlink r:id="rId67" ref="B63"/>
    <hyperlink r:id="rId68" ref="B64"/>
    <hyperlink r:id="rId69" ref="B65"/>
    <hyperlink r:id="rId70" ref="B66"/>
    <hyperlink r:id="rId71" ref="B67"/>
    <hyperlink r:id="rId72" ref="B68"/>
    <hyperlink r:id="rId73" ref="B69"/>
    <hyperlink r:id="rId74" ref="B70"/>
    <hyperlink r:id="rId75" ref="B71"/>
    <hyperlink r:id="rId76" ref="B72"/>
    <hyperlink r:id="rId77" ref="B73"/>
    <hyperlink r:id="rId78" ref="B74"/>
    <hyperlink r:id="rId79" ref="B75"/>
    <hyperlink r:id="rId80" ref="B76"/>
    <hyperlink r:id="rId81" ref="B77"/>
    <hyperlink r:id="rId82" ref="B78"/>
    <hyperlink r:id="rId83" ref="B79"/>
    <hyperlink r:id="rId84" ref="B80"/>
    <hyperlink r:id="rId85" ref="B81"/>
    <hyperlink r:id="rId86" ref="B82"/>
    <hyperlink r:id="rId87" ref="B83"/>
    <hyperlink r:id="rId88" ref="B84"/>
    <hyperlink r:id="rId89" ref="B85"/>
    <hyperlink r:id="rId90" ref="B86"/>
    <hyperlink r:id="rId91" ref="B87"/>
    <hyperlink r:id="rId92" ref="B88"/>
    <hyperlink r:id="rId93" ref="B89"/>
    <hyperlink r:id="rId94" ref="B90"/>
    <hyperlink r:id="rId95" ref="B91"/>
    <hyperlink r:id="rId96" ref="B92"/>
    <hyperlink r:id="rId97" ref="B93"/>
    <hyperlink r:id="rId98" ref="B94"/>
    <hyperlink r:id="rId99" ref="B95"/>
    <hyperlink r:id="rId100" ref="B96"/>
    <hyperlink r:id="rId101" ref="B97"/>
    <hyperlink r:id="rId102" ref="B98"/>
    <hyperlink r:id="rId103" ref="B99"/>
    <hyperlink r:id="rId104" ref="B100"/>
    <hyperlink r:id="rId105" ref="B101"/>
    <hyperlink r:id="rId106" ref="B102"/>
    <hyperlink r:id="rId107" ref="B103"/>
    <hyperlink r:id="rId108" ref="B104"/>
    <hyperlink r:id="rId109" ref="B105"/>
    <hyperlink r:id="rId110" ref="B106"/>
    <hyperlink r:id="rId111" ref="B107"/>
    <hyperlink r:id="rId112" ref="B108"/>
    <hyperlink r:id="rId113" ref="B109"/>
    <hyperlink r:id="rId114" ref="B110"/>
    <hyperlink r:id="rId115" ref="B111"/>
    <hyperlink r:id="rId116" ref="B112"/>
    <hyperlink r:id="rId117" ref="B113"/>
    <hyperlink r:id="rId118" ref="B114"/>
    <hyperlink r:id="rId119" ref="B115"/>
    <hyperlink r:id="rId120" ref="B116"/>
    <hyperlink r:id="rId121" ref="B117"/>
    <hyperlink r:id="rId122" ref="B118"/>
    <hyperlink r:id="rId123" ref="B119"/>
    <hyperlink r:id="rId124" ref="B120"/>
    <hyperlink r:id="rId125" ref="B121"/>
    <hyperlink r:id="rId126" ref="B122"/>
    <hyperlink r:id="rId127" ref="B123"/>
    <hyperlink r:id="rId128" ref="B124"/>
    <hyperlink r:id="rId129" ref="B125"/>
    <hyperlink r:id="rId130" ref="B126"/>
    <hyperlink r:id="rId131" ref="B127"/>
    <hyperlink r:id="rId132" ref="B128"/>
    <hyperlink r:id="rId133" ref="B129"/>
    <hyperlink r:id="rId134" ref="B130"/>
    <hyperlink r:id="rId135" ref="B131"/>
    <hyperlink r:id="rId136" ref="B132"/>
    <hyperlink r:id="rId137" ref="B133"/>
    <hyperlink r:id="rId138" ref="B134"/>
    <hyperlink r:id="rId139" ref="B135"/>
    <hyperlink r:id="rId140" ref="B136"/>
    <hyperlink r:id="rId141" ref="B137"/>
    <hyperlink r:id="rId142" ref="B138"/>
    <hyperlink r:id="rId143" ref="B139"/>
    <hyperlink r:id="rId144" ref="B140"/>
    <hyperlink r:id="rId145" ref="B141"/>
    <hyperlink r:id="rId146" ref="B142"/>
    <hyperlink r:id="rId147" ref="B143"/>
    <hyperlink r:id="rId148" ref="B144"/>
    <hyperlink r:id="rId149" ref="B145"/>
    <hyperlink r:id="rId150" ref="B146"/>
    <hyperlink r:id="rId151" ref="B147"/>
    <hyperlink r:id="rId152" ref="B148"/>
    <hyperlink r:id="rId153" ref="B149"/>
    <hyperlink r:id="rId154" ref="B150"/>
    <hyperlink r:id="rId155" ref="B151"/>
    <hyperlink r:id="rId156" ref="B152"/>
    <hyperlink r:id="rId157" ref="B153"/>
    <hyperlink r:id="rId158" ref="B154"/>
    <hyperlink r:id="rId159" ref="B155"/>
    <hyperlink r:id="rId160" ref="B156"/>
    <hyperlink r:id="rId161" ref="B157"/>
    <hyperlink r:id="rId162" ref="B158"/>
    <hyperlink r:id="rId163" ref="B159"/>
    <hyperlink r:id="rId164" ref="B160"/>
    <hyperlink r:id="rId165" ref="B161"/>
    <hyperlink r:id="rId166" ref="B162"/>
    <hyperlink r:id="rId167" ref="B163"/>
    <hyperlink r:id="rId168" ref="B164"/>
    <hyperlink r:id="rId169" ref="B165"/>
    <hyperlink r:id="rId170" ref="B166"/>
    <hyperlink r:id="rId171" ref="B167"/>
    <hyperlink r:id="rId172" ref="B168"/>
    <hyperlink r:id="rId173" ref="B169"/>
    <hyperlink r:id="rId174" ref="B170"/>
    <hyperlink r:id="rId175" ref="B171"/>
    <hyperlink r:id="rId176" ref="B172"/>
    <hyperlink r:id="rId177" ref="B173"/>
    <hyperlink r:id="rId178" ref="B174"/>
    <hyperlink r:id="rId179" ref="B175"/>
    <hyperlink r:id="rId180" ref="B176"/>
    <hyperlink r:id="rId181" ref="B177"/>
    <hyperlink r:id="rId182" ref="B178"/>
    <hyperlink r:id="rId183" ref="B179"/>
    <hyperlink r:id="rId184" ref="B180"/>
    <hyperlink r:id="rId185" ref="B181"/>
    <hyperlink r:id="rId186" ref="B182"/>
    <hyperlink r:id="rId187" ref="B183"/>
    <hyperlink r:id="rId188" ref="B184"/>
    <hyperlink r:id="rId189" ref="B185"/>
    <hyperlink r:id="rId190" ref="B186"/>
    <hyperlink r:id="rId191" ref="B187"/>
    <hyperlink r:id="rId192" ref="B188"/>
    <hyperlink r:id="rId193" ref="B189"/>
    <hyperlink r:id="rId194" ref="B190"/>
    <hyperlink r:id="rId195" ref="B191"/>
    <hyperlink r:id="rId196" ref="B192"/>
    <hyperlink r:id="rId197" ref="B193"/>
    <hyperlink r:id="rId198" ref="B194"/>
    <hyperlink r:id="rId199" ref="B195"/>
    <hyperlink r:id="rId200" ref="B196"/>
    <hyperlink r:id="rId201" ref="B197"/>
    <hyperlink r:id="rId202" ref="B198"/>
    <hyperlink r:id="rId203" ref="B199"/>
    <hyperlink r:id="rId204" ref="B200"/>
    <hyperlink r:id="rId205" ref="B201"/>
    <hyperlink r:id="rId206" ref="B202"/>
    <hyperlink r:id="rId207" ref="B203"/>
    <hyperlink r:id="rId208" ref="B204"/>
    <hyperlink r:id="rId209" ref="B205"/>
    <hyperlink r:id="rId210" ref="B206"/>
    <hyperlink r:id="rId211" ref="B207"/>
    <hyperlink r:id="rId212" ref="B208"/>
    <hyperlink r:id="rId213" ref="B209"/>
    <hyperlink r:id="rId214" ref="B210"/>
    <hyperlink r:id="rId215" ref="B211"/>
    <hyperlink r:id="rId216" ref="B212"/>
    <hyperlink r:id="rId217" ref="B213"/>
    <hyperlink r:id="rId218" ref="B214"/>
    <hyperlink r:id="rId219" ref="B215"/>
    <hyperlink r:id="rId220" ref="B216"/>
    <hyperlink r:id="rId221" ref="B217"/>
    <hyperlink r:id="rId222" ref="B218"/>
    <hyperlink r:id="rId223" ref="B219"/>
    <hyperlink r:id="rId224" ref="B220"/>
    <hyperlink r:id="rId225" ref="B221"/>
    <hyperlink r:id="rId226" ref="B222"/>
    <hyperlink r:id="rId227" ref="B223"/>
    <hyperlink r:id="rId228" ref="B224"/>
    <hyperlink r:id="rId229" ref="B225"/>
    <hyperlink r:id="rId230" ref="B226"/>
    <hyperlink r:id="rId231" ref="B227"/>
    <hyperlink r:id="rId232" ref="B228"/>
    <hyperlink r:id="rId233" ref="B229"/>
    <hyperlink r:id="rId234" ref="B230"/>
    <hyperlink r:id="rId235" ref="B231"/>
    <hyperlink r:id="rId236" ref="B232"/>
    <hyperlink r:id="rId237" ref="B233"/>
    <hyperlink r:id="rId238" ref="B234"/>
    <hyperlink r:id="rId239" ref="B235"/>
    <hyperlink r:id="rId240" ref="B236"/>
    <hyperlink r:id="rId241" ref="B237"/>
    <hyperlink r:id="rId242" ref="B238"/>
    <hyperlink r:id="rId243" ref="B239"/>
    <hyperlink r:id="rId244" ref="B240"/>
    <hyperlink r:id="rId245" ref="B241"/>
    <hyperlink r:id="rId246" ref="B242"/>
    <hyperlink r:id="rId247" ref="B243"/>
    <hyperlink r:id="rId248" ref="B244"/>
    <hyperlink r:id="rId249" ref="B245"/>
    <hyperlink r:id="rId250" ref="B246"/>
    <hyperlink r:id="rId251" ref="B247"/>
    <hyperlink r:id="rId252" ref="B248"/>
    <hyperlink r:id="rId253" ref="B249"/>
    <hyperlink r:id="rId254" ref="B250"/>
    <hyperlink r:id="rId255" ref="B251"/>
    <hyperlink r:id="rId256" ref="B252"/>
    <hyperlink r:id="rId257" ref="B253"/>
    <hyperlink r:id="rId258" ref="B254"/>
    <hyperlink r:id="rId259" ref="B255"/>
    <hyperlink r:id="rId260" ref="B256"/>
    <hyperlink r:id="rId261" ref="B257"/>
    <hyperlink r:id="rId262" ref="B258"/>
    <hyperlink r:id="rId263" ref="B259"/>
    <hyperlink r:id="rId264" ref="B260"/>
    <hyperlink r:id="rId265" ref="B261"/>
    <hyperlink r:id="rId266" ref="B262"/>
    <hyperlink r:id="rId267" ref="B263"/>
    <hyperlink r:id="rId268" ref="B264"/>
    <hyperlink r:id="rId269" ref="B265"/>
    <hyperlink r:id="rId270" ref="B266"/>
    <hyperlink r:id="rId271" ref="B267"/>
    <hyperlink r:id="rId272" ref="B268"/>
    <hyperlink r:id="rId273" ref="B269"/>
    <hyperlink r:id="rId274" ref="B270"/>
    <hyperlink r:id="rId275" ref="B271"/>
    <hyperlink r:id="rId276" ref="B272"/>
    <hyperlink r:id="rId277" ref="B273"/>
    <hyperlink r:id="rId278" ref="B274"/>
    <hyperlink r:id="rId279" ref="B275"/>
    <hyperlink r:id="rId280" ref="B276"/>
    <hyperlink r:id="rId281" ref="B277"/>
    <hyperlink r:id="rId282" ref="B278"/>
    <hyperlink r:id="rId283" ref="B279"/>
    <hyperlink r:id="rId284" ref="B280"/>
    <hyperlink r:id="rId285" ref="B281"/>
    <hyperlink r:id="rId286" ref="B282"/>
    <hyperlink r:id="rId287" ref="B283"/>
    <hyperlink r:id="rId288" ref="B284"/>
    <hyperlink r:id="rId289" ref="B285"/>
    <hyperlink r:id="rId290" ref="B286"/>
    <hyperlink r:id="rId291" ref="B287"/>
    <hyperlink r:id="rId292" ref="B288"/>
    <hyperlink r:id="rId293" ref="B289"/>
    <hyperlink r:id="rId294" ref="B290"/>
    <hyperlink r:id="rId295" ref="B291"/>
    <hyperlink r:id="rId296" ref="B292"/>
    <hyperlink r:id="rId297" ref="B293"/>
    <hyperlink r:id="rId298" ref="B294"/>
    <hyperlink r:id="rId299" ref="B295"/>
    <hyperlink r:id="rId300" ref="B296"/>
    <hyperlink r:id="rId301" ref="B297"/>
    <hyperlink r:id="rId302" ref="B298"/>
    <hyperlink r:id="rId303" ref="B299"/>
    <hyperlink r:id="rId304" ref="B300"/>
    <hyperlink r:id="rId305" ref="B301"/>
    <hyperlink r:id="rId306" ref="B302"/>
    <hyperlink r:id="rId307" ref="B303"/>
    <hyperlink r:id="rId308" ref="B304"/>
    <hyperlink r:id="rId309" ref="B305"/>
    <hyperlink r:id="rId310" ref="B306"/>
    <hyperlink r:id="rId311" ref="B307"/>
    <hyperlink r:id="rId312" ref="B308"/>
    <hyperlink r:id="rId313" ref="B309"/>
    <hyperlink r:id="rId314" ref="B310"/>
    <hyperlink r:id="rId315" ref="B311"/>
    <hyperlink r:id="rId316" ref="B312"/>
    <hyperlink r:id="rId317" ref="B313"/>
    <hyperlink r:id="rId318" ref="B314"/>
    <hyperlink r:id="rId319" ref="B315"/>
    <hyperlink r:id="rId320" ref="B316"/>
    <hyperlink r:id="rId321" ref="B317"/>
    <hyperlink r:id="rId322" ref="B318"/>
    <hyperlink r:id="rId323" ref="B319"/>
    <hyperlink r:id="rId324" ref="B320"/>
    <hyperlink r:id="rId325" ref="B321"/>
    <hyperlink r:id="rId326" ref="B322"/>
    <hyperlink r:id="rId327" ref="B323"/>
    <hyperlink r:id="rId328" ref="B324"/>
    <hyperlink r:id="rId329" ref="B325"/>
    <hyperlink r:id="rId330" ref="B326"/>
    <hyperlink r:id="rId331" ref="B327"/>
    <hyperlink r:id="rId332" ref="B328"/>
    <hyperlink r:id="rId333" ref="B329"/>
    <hyperlink r:id="rId334" ref="B330"/>
    <hyperlink r:id="rId335" ref="B331"/>
    <hyperlink r:id="rId336" ref="B332"/>
    <hyperlink r:id="rId337" ref="B333"/>
    <hyperlink r:id="rId338" ref="B334"/>
    <hyperlink r:id="rId339" ref="B335"/>
    <hyperlink r:id="rId340" ref="B336"/>
    <hyperlink r:id="rId341" ref="B337"/>
    <hyperlink r:id="rId342" ref="B338"/>
    <hyperlink r:id="rId343" ref="B339"/>
    <hyperlink r:id="rId344" ref="B340"/>
    <hyperlink r:id="rId345" ref="B341"/>
    <hyperlink r:id="rId346" ref="B342"/>
    <hyperlink r:id="rId347" ref="B343"/>
    <hyperlink r:id="rId348" ref="B344"/>
    <hyperlink r:id="rId349" ref="B345"/>
    <hyperlink r:id="rId350" ref="B346"/>
    <hyperlink r:id="rId351" ref="B347"/>
    <hyperlink r:id="rId352" ref="B348"/>
    <hyperlink r:id="rId353" ref="B349"/>
    <hyperlink r:id="rId354" ref="B350"/>
    <hyperlink r:id="rId355" ref="B351"/>
    <hyperlink r:id="rId356" ref="B352"/>
    <hyperlink r:id="rId357" ref="B353"/>
    <hyperlink r:id="rId358" ref="B354"/>
    <hyperlink r:id="rId359" ref="B355"/>
    <hyperlink r:id="rId360" ref="B356"/>
    <hyperlink r:id="rId361" ref="B357"/>
    <hyperlink r:id="rId362" ref="B358"/>
    <hyperlink r:id="rId363" ref="B359"/>
    <hyperlink r:id="rId364" ref="B360"/>
    <hyperlink r:id="rId365" ref="B361"/>
    <hyperlink r:id="rId366" ref="B362"/>
    <hyperlink r:id="rId367" ref="B363"/>
    <hyperlink r:id="rId368" ref="B364"/>
    <hyperlink r:id="rId369" ref="B365"/>
    <hyperlink r:id="rId370" ref="B366"/>
    <hyperlink r:id="rId371" ref="B367"/>
    <hyperlink r:id="rId372" ref="B368"/>
    <hyperlink r:id="rId373" ref="B369"/>
    <hyperlink r:id="rId374" ref="B370"/>
    <hyperlink r:id="rId375" ref="B371"/>
    <hyperlink r:id="rId376" ref="B372"/>
    <hyperlink r:id="rId377" ref="B373"/>
    <hyperlink r:id="rId378" ref="B374"/>
    <hyperlink r:id="rId379" ref="B375"/>
    <hyperlink r:id="rId380" ref="B376"/>
    <hyperlink r:id="rId381" ref="B377"/>
    <hyperlink r:id="rId382" ref="B378"/>
    <hyperlink r:id="rId383" ref="B379"/>
    <hyperlink r:id="rId384" ref="B380"/>
    <hyperlink r:id="rId385" ref="B381"/>
    <hyperlink r:id="rId386" ref="B382"/>
    <hyperlink r:id="rId387" ref="B383"/>
    <hyperlink r:id="rId388" ref="B384"/>
    <hyperlink r:id="rId389" ref="B385"/>
    <hyperlink r:id="rId390" ref="B386"/>
    <hyperlink r:id="rId391" ref="B387"/>
    <hyperlink r:id="rId392" ref="B388"/>
    <hyperlink r:id="rId393" ref="B389"/>
    <hyperlink r:id="rId394" ref="B390"/>
    <hyperlink r:id="rId395" ref="B391"/>
    <hyperlink r:id="rId396" ref="B392"/>
    <hyperlink r:id="rId397" ref="B393"/>
    <hyperlink r:id="rId398" ref="B394"/>
    <hyperlink r:id="rId399" ref="B395"/>
    <hyperlink r:id="rId400" ref="B396"/>
    <hyperlink r:id="rId401" ref="B397"/>
    <hyperlink r:id="rId402" ref="B398"/>
    <hyperlink r:id="rId403" ref="B399"/>
    <hyperlink r:id="rId404" ref="B400"/>
    <hyperlink r:id="rId405" ref="B401"/>
    <hyperlink r:id="rId406" ref="B402"/>
    <hyperlink r:id="rId407" ref="B403"/>
    <hyperlink r:id="rId408" ref="B404"/>
    <hyperlink r:id="rId409" ref="B405"/>
    <hyperlink r:id="rId410" ref="B406"/>
    <hyperlink r:id="rId411" ref="B407"/>
    <hyperlink r:id="rId412" ref="B408"/>
    <hyperlink r:id="rId413" ref="B409"/>
    <hyperlink r:id="rId414" ref="B410"/>
    <hyperlink r:id="rId415" ref="B411"/>
    <hyperlink r:id="rId416" ref="B412"/>
    <hyperlink r:id="rId417" ref="B413"/>
    <hyperlink r:id="rId418" ref="B414"/>
    <hyperlink r:id="rId419" ref="B415"/>
    <hyperlink r:id="rId420" ref="B416"/>
    <hyperlink r:id="rId421" ref="B417"/>
    <hyperlink r:id="rId422" ref="B418"/>
    <hyperlink r:id="rId423" ref="B419"/>
    <hyperlink r:id="rId424" ref="B420"/>
    <hyperlink r:id="rId425" ref="B421"/>
    <hyperlink r:id="rId426" ref="B422"/>
    <hyperlink r:id="rId427" ref="B423"/>
    <hyperlink r:id="rId428" ref="B424"/>
    <hyperlink r:id="rId429" ref="B425"/>
    <hyperlink r:id="rId430" ref="B426"/>
    <hyperlink r:id="rId431" ref="B427"/>
    <hyperlink r:id="rId432" ref="B428"/>
    <hyperlink r:id="rId433" ref="B429"/>
    <hyperlink r:id="rId434" ref="B430"/>
    <hyperlink r:id="rId435" ref="B431"/>
    <hyperlink r:id="rId436" ref="B432"/>
    <hyperlink r:id="rId437" ref="B433"/>
    <hyperlink r:id="rId438" ref="B434"/>
    <hyperlink r:id="rId439" ref="B435"/>
    <hyperlink r:id="rId440" ref="B436"/>
    <hyperlink r:id="rId441" ref="B437"/>
    <hyperlink r:id="rId442" ref="B438"/>
    <hyperlink r:id="rId443" ref="B439"/>
    <hyperlink r:id="rId444" ref="B440"/>
    <hyperlink r:id="rId445" ref="B441"/>
    <hyperlink r:id="rId446" ref="B442"/>
    <hyperlink r:id="rId447" ref="B443"/>
    <hyperlink r:id="rId448" ref="B444"/>
    <hyperlink r:id="rId449" ref="B445"/>
    <hyperlink r:id="rId450" ref="B446"/>
    <hyperlink r:id="rId451" ref="B447"/>
    <hyperlink r:id="rId452" ref="B448"/>
    <hyperlink r:id="rId453" ref="B449"/>
    <hyperlink r:id="rId454" ref="B450"/>
    <hyperlink r:id="rId455" ref="B451"/>
    <hyperlink r:id="rId456" ref="B452"/>
    <hyperlink r:id="rId457" ref="B453"/>
    <hyperlink r:id="rId458" ref="B454"/>
    <hyperlink r:id="rId459" ref="B455"/>
    <hyperlink r:id="rId460" ref="B456"/>
    <hyperlink r:id="rId461" ref="B457"/>
    <hyperlink r:id="rId462" ref="B458"/>
    <hyperlink r:id="rId463" ref="B459"/>
    <hyperlink r:id="rId464" ref="B460"/>
    <hyperlink r:id="rId465" ref="B461"/>
    <hyperlink r:id="rId466" ref="B462"/>
    <hyperlink r:id="rId467" ref="B463"/>
    <hyperlink r:id="rId468" ref="B464"/>
    <hyperlink r:id="rId469" ref="B465"/>
    <hyperlink r:id="rId470" ref="B466"/>
    <hyperlink r:id="rId471" ref="B467"/>
    <hyperlink r:id="rId472" ref="B468"/>
    <hyperlink r:id="rId473" ref="B469"/>
    <hyperlink r:id="rId474" ref="B470"/>
    <hyperlink r:id="rId475" ref="B471"/>
    <hyperlink r:id="rId476" ref="B472"/>
    <hyperlink r:id="rId477" ref="B473"/>
    <hyperlink r:id="rId478" ref="B474"/>
    <hyperlink r:id="rId479" ref="B475"/>
    <hyperlink r:id="rId480" ref="B476"/>
    <hyperlink r:id="rId481" ref="B477"/>
    <hyperlink r:id="rId482" ref="B478"/>
    <hyperlink r:id="rId483" ref="B479"/>
    <hyperlink r:id="rId484" ref="B480"/>
    <hyperlink r:id="rId485" ref="B481"/>
    <hyperlink r:id="rId486" ref="B482"/>
    <hyperlink r:id="rId487" ref="B483"/>
    <hyperlink r:id="rId488" ref="B484"/>
    <hyperlink r:id="rId489" ref="B485"/>
    <hyperlink r:id="rId490" ref="B486"/>
    <hyperlink r:id="rId491" ref="B487"/>
    <hyperlink r:id="rId492" ref="B488"/>
    <hyperlink r:id="rId493" ref="B489"/>
    <hyperlink r:id="rId494" ref="B490"/>
    <hyperlink r:id="rId495" ref="B491"/>
    <hyperlink r:id="rId496" ref="B492"/>
    <hyperlink r:id="rId497" ref="B493"/>
    <hyperlink r:id="rId498" ref="B494"/>
    <hyperlink r:id="rId499" ref="B495"/>
    <hyperlink r:id="rId500" ref="B496"/>
    <hyperlink r:id="rId501" ref="B497"/>
    <hyperlink r:id="rId502" ref="B498"/>
    <hyperlink r:id="rId503" ref="B499"/>
    <hyperlink r:id="rId504" ref="B500"/>
    <hyperlink r:id="rId505" ref="B501"/>
    <hyperlink r:id="rId506" ref="B502"/>
    <hyperlink r:id="rId507" ref="B503"/>
    <hyperlink r:id="rId508" ref="B504"/>
    <hyperlink r:id="rId509" ref="B505"/>
    <hyperlink r:id="rId510" ref="B506"/>
    <hyperlink r:id="rId511" ref="B507"/>
    <hyperlink r:id="rId512" ref="B508"/>
    <hyperlink r:id="rId513" ref="B509"/>
    <hyperlink r:id="rId514" ref="B510"/>
    <hyperlink r:id="rId515" ref="B511"/>
    <hyperlink r:id="rId516" ref="B512"/>
    <hyperlink r:id="rId517" ref="B513"/>
    <hyperlink r:id="rId518" ref="B514"/>
    <hyperlink r:id="rId519" ref="B515"/>
    <hyperlink r:id="rId520" ref="B516"/>
    <hyperlink r:id="rId521" ref="B517"/>
    <hyperlink r:id="rId522" ref="B518"/>
    <hyperlink r:id="rId523" ref="B519"/>
    <hyperlink r:id="rId524" ref="B520"/>
    <hyperlink r:id="rId525" ref="B521"/>
    <hyperlink r:id="rId526" ref="B522"/>
    <hyperlink r:id="rId527" ref="B523"/>
    <hyperlink r:id="rId528" ref="B524"/>
    <hyperlink r:id="rId529" ref="B525"/>
    <hyperlink r:id="rId530" ref="B526"/>
    <hyperlink r:id="rId531" ref="B527"/>
    <hyperlink r:id="rId532" ref="B528"/>
    <hyperlink r:id="rId533" ref="B529"/>
    <hyperlink r:id="rId534" ref="B530"/>
    <hyperlink r:id="rId535" ref="B531"/>
    <hyperlink r:id="rId536" ref="B532"/>
    <hyperlink r:id="rId537" ref="B533"/>
    <hyperlink r:id="rId538" ref="B534"/>
    <hyperlink r:id="rId539" ref="B535"/>
    <hyperlink r:id="rId540" ref="B536"/>
    <hyperlink r:id="rId541" ref="B537"/>
    <hyperlink r:id="rId542" ref="B538"/>
    <hyperlink r:id="rId543" ref="B539"/>
    <hyperlink r:id="rId544" ref="B540"/>
    <hyperlink r:id="rId545" ref="B541"/>
    <hyperlink r:id="rId546" ref="B542"/>
    <hyperlink r:id="rId547" ref="B543"/>
    <hyperlink r:id="rId548" ref="B544"/>
    <hyperlink r:id="rId549" ref="B545"/>
    <hyperlink r:id="rId550" ref="B546"/>
    <hyperlink r:id="rId551" ref="B547"/>
    <hyperlink r:id="rId552" ref="B548"/>
    <hyperlink r:id="rId553" ref="B549"/>
    <hyperlink r:id="rId554" ref="B550"/>
    <hyperlink r:id="rId555" ref="B551"/>
    <hyperlink r:id="rId556" ref="B552"/>
    <hyperlink r:id="rId557" ref="B553"/>
    <hyperlink r:id="rId558" ref="B554"/>
    <hyperlink r:id="rId559" ref="B555"/>
    <hyperlink r:id="rId560" ref="B556"/>
    <hyperlink r:id="rId561" ref="B557"/>
    <hyperlink r:id="rId562" ref="B558"/>
    <hyperlink r:id="rId563" ref="B559"/>
    <hyperlink r:id="rId564" ref="B560"/>
    <hyperlink r:id="rId565" ref="B561"/>
    <hyperlink r:id="rId566" ref="B562"/>
    <hyperlink r:id="rId567" ref="B563"/>
    <hyperlink r:id="rId568" ref="B564"/>
    <hyperlink r:id="rId569" ref="B565"/>
    <hyperlink r:id="rId570" ref="B566"/>
    <hyperlink r:id="rId571" ref="B567"/>
    <hyperlink r:id="rId572" ref="B568"/>
    <hyperlink r:id="rId573" ref="B569"/>
    <hyperlink r:id="rId574" ref="B570"/>
    <hyperlink r:id="rId575" ref="B571"/>
    <hyperlink r:id="rId576" ref="B572"/>
    <hyperlink r:id="rId577" ref="B573"/>
    <hyperlink r:id="rId578" ref="B574"/>
    <hyperlink r:id="rId579" ref="B575"/>
    <hyperlink r:id="rId580" ref="B576"/>
    <hyperlink r:id="rId581" ref="B577"/>
    <hyperlink r:id="rId582" ref="B578"/>
    <hyperlink r:id="rId583" ref="B579"/>
    <hyperlink r:id="rId584" ref="B580"/>
    <hyperlink r:id="rId585" ref="B581"/>
    <hyperlink r:id="rId586" ref="B582"/>
    <hyperlink r:id="rId587" ref="B583"/>
    <hyperlink r:id="rId588" ref="B584"/>
    <hyperlink r:id="rId589" ref="B585"/>
    <hyperlink r:id="rId590" ref="B586"/>
    <hyperlink r:id="rId591" ref="B587"/>
    <hyperlink r:id="rId592" ref="B588"/>
    <hyperlink r:id="rId593" ref="B589"/>
    <hyperlink r:id="rId594" ref="B590"/>
    <hyperlink r:id="rId595" ref="B591"/>
    <hyperlink r:id="rId596" ref="B592"/>
    <hyperlink r:id="rId597" ref="B593"/>
    <hyperlink r:id="rId598" ref="B594"/>
    <hyperlink r:id="rId599" ref="B595"/>
    <hyperlink r:id="rId600" ref="B596"/>
    <hyperlink r:id="rId601" ref="B597"/>
    <hyperlink r:id="rId602" ref="B598"/>
    <hyperlink r:id="rId603" ref="B599"/>
    <hyperlink r:id="rId604" ref="B600"/>
    <hyperlink r:id="rId605" ref="B601"/>
    <hyperlink r:id="rId606" ref="B602"/>
    <hyperlink r:id="rId607" ref="B603"/>
    <hyperlink r:id="rId608" ref="B604"/>
    <hyperlink r:id="rId609" ref="B605"/>
    <hyperlink r:id="rId610" ref="B606"/>
    <hyperlink r:id="rId611" ref="B607"/>
    <hyperlink r:id="rId612" ref="B608"/>
    <hyperlink r:id="rId613" ref="B609"/>
    <hyperlink r:id="rId614" ref="B610"/>
    <hyperlink r:id="rId615" ref="B611"/>
    <hyperlink r:id="rId616" ref="B612"/>
    <hyperlink r:id="rId617" ref="B613"/>
    <hyperlink r:id="rId618" ref="B614"/>
    <hyperlink r:id="rId619" ref="B615"/>
    <hyperlink r:id="rId620" ref="B616"/>
    <hyperlink r:id="rId621" ref="B617"/>
    <hyperlink r:id="rId622" ref="B618"/>
    <hyperlink r:id="rId623" ref="B619"/>
    <hyperlink r:id="rId624" ref="B620"/>
    <hyperlink r:id="rId625" ref="B621"/>
    <hyperlink r:id="rId626" ref="B622"/>
    <hyperlink r:id="rId627" ref="B623"/>
    <hyperlink r:id="rId628" ref="B624"/>
    <hyperlink r:id="rId629" ref="B625"/>
    <hyperlink r:id="rId630" ref="B626"/>
    <hyperlink r:id="rId631" ref="B627"/>
    <hyperlink r:id="rId632" ref="B628"/>
    <hyperlink r:id="rId633" ref="B629"/>
    <hyperlink r:id="rId634" ref="B630"/>
    <hyperlink r:id="rId635" ref="B631"/>
    <hyperlink r:id="rId636" ref="B632"/>
    <hyperlink r:id="rId637" ref="B633"/>
    <hyperlink r:id="rId638" ref="B634"/>
    <hyperlink r:id="rId639" ref="B635"/>
    <hyperlink r:id="rId640" ref="B636"/>
    <hyperlink r:id="rId641" ref="B637"/>
    <hyperlink r:id="rId642" ref="B638"/>
    <hyperlink r:id="rId643" ref="B639"/>
    <hyperlink r:id="rId644" ref="B640"/>
    <hyperlink r:id="rId645" ref="B641"/>
    <hyperlink r:id="rId646" ref="B642"/>
    <hyperlink r:id="rId647" ref="B643"/>
    <hyperlink r:id="rId648" ref="B644"/>
    <hyperlink r:id="rId649" ref="B645"/>
    <hyperlink r:id="rId650" ref="B646"/>
    <hyperlink r:id="rId651" ref="B647"/>
    <hyperlink r:id="rId652" ref="B648"/>
    <hyperlink r:id="rId653" ref="B649"/>
    <hyperlink r:id="rId654" ref="B650"/>
    <hyperlink r:id="rId655" ref="B651"/>
    <hyperlink r:id="rId656" ref="B652"/>
    <hyperlink r:id="rId657" ref="B653"/>
    <hyperlink r:id="rId658" ref="B654"/>
    <hyperlink r:id="rId659" ref="B655"/>
    <hyperlink r:id="rId660" ref="B656"/>
    <hyperlink r:id="rId661" ref="B657"/>
    <hyperlink r:id="rId662" ref="B658"/>
    <hyperlink r:id="rId663" ref="B659"/>
    <hyperlink r:id="rId664" ref="B660"/>
    <hyperlink r:id="rId665" ref="B661"/>
    <hyperlink r:id="rId666" ref="B662"/>
    <hyperlink r:id="rId667" ref="B663"/>
    <hyperlink r:id="rId668" ref="B664"/>
    <hyperlink r:id="rId669" ref="B665"/>
    <hyperlink r:id="rId670" ref="B666"/>
    <hyperlink r:id="rId671" ref="B667"/>
    <hyperlink r:id="rId672" ref="B668"/>
    <hyperlink r:id="rId673" ref="B669"/>
    <hyperlink r:id="rId674" ref="B670"/>
    <hyperlink r:id="rId675" ref="B671"/>
    <hyperlink r:id="rId676" ref="B672"/>
    <hyperlink r:id="rId677" ref="B673"/>
    <hyperlink r:id="rId678" ref="B674"/>
    <hyperlink r:id="rId679" ref="B675"/>
    <hyperlink r:id="rId680" ref="B676"/>
    <hyperlink r:id="rId681" ref="B677"/>
    <hyperlink r:id="rId682" ref="B678"/>
    <hyperlink r:id="rId683" ref="B679"/>
    <hyperlink r:id="rId684" ref="B680"/>
    <hyperlink r:id="rId685" ref="B681"/>
    <hyperlink r:id="rId686" ref="B682"/>
    <hyperlink r:id="rId687" ref="B683"/>
    <hyperlink r:id="rId688" ref="B684"/>
    <hyperlink r:id="rId689" ref="B685"/>
    <hyperlink r:id="rId690" ref="B686"/>
    <hyperlink r:id="rId691" ref="B687"/>
    <hyperlink r:id="rId692" ref="B688"/>
    <hyperlink r:id="rId693" ref="B689"/>
    <hyperlink r:id="rId694" ref="B690"/>
    <hyperlink r:id="rId695" ref="B691"/>
    <hyperlink r:id="rId696" ref="B692"/>
    <hyperlink r:id="rId697" ref="B693"/>
    <hyperlink r:id="rId698" ref="B694"/>
    <hyperlink r:id="rId699" ref="B695"/>
    <hyperlink r:id="rId700" ref="B696"/>
    <hyperlink r:id="rId701" ref="B697"/>
    <hyperlink r:id="rId702" ref="B698"/>
    <hyperlink r:id="rId703" ref="B699"/>
    <hyperlink r:id="rId704" ref="B700"/>
    <hyperlink r:id="rId705" ref="B701"/>
    <hyperlink r:id="rId706" ref="B702"/>
    <hyperlink r:id="rId707" ref="B703"/>
    <hyperlink r:id="rId708" ref="B704"/>
    <hyperlink r:id="rId709" ref="B705"/>
    <hyperlink r:id="rId710" ref="B706"/>
    <hyperlink r:id="rId711" ref="B707"/>
    <hyperlink r:id="rId712" ref="B708"/>
    <hyperlink r:id="rId713" ref="B709"/>
    <hyperlink r:id="rId714" ref="B710"/>
    <hyperlink r:id="rId715" ref="B711"/>
    <hyperlink r:id="rId716" ref="B712"/>
    <hyperlink r:id="rId717" ref="B713"/>
    <hyperlink r:id="rId718" ref="B714"/>
    <hyperlink r:id="rId719" ref="B715"/>
    <hyperlink r:id="rId720" ref="B716"/>
    <hyperlink r:id="rId721" ref="B717"/>
    <hyperlink r:id="rId722" ref="B718"/>
    <hyperlink r:id="rId723" ref="B719"/>
    <hyperlink r:id="rId724" ref="B720"/>
    <hyperlink r:id="rId725" ref="B721"/>
    <hyperlink r:id="rId726" ref="B722"/>
    <hyperlink r:id="rId727" ref="B723"/>
    <hyperlink r:id="rId728" ref="B724"/>
    <hyperlink r:id="rId729" ref="B725"/>
    <hyperlink r:id="rId730" ref="B726"/>
    <hyperlink r:id="rId731" ref="B727"/>
    <hyperlink r:id="rId732" ref="B728"/>
    <hyperlink r:id="rId733" ref="B729"/>
    <hyperlink r:id="rId734" ref="B730"/>
    <hyperlink r:id="rId735" ref="B731"/>
    <hyperlink r:id="rId736" ref="B732"/>
    <hyperlink r:id="rId737" ref="B733"/>
    <hyperlink r:id="rId738" ref="B734"/>
    <hyperlink r:id="rId739" ref="B735"/>
    <hyperlink r:id="rId740" ref="B736"/>
    <hyperlink r:id="rId741" ref="B737"/>
    <hyperlink r:id="rId742" ref="B738"/>
    <hyperlink r:id="rId743" ref="B739"/>
    <hyperlink r:id="rId744" ref="B740"/>
    <hyperlink r:id="rId745" ref="B741"/>
    <hyperlink r:id="rId746" ref="B742"/>
    <hyperlink r:id="rId747" ref="B743"/>
    <hyperlink r:id="rId748" ref="B744"/>
    <hyperlink r:id="rId749" ref="B745"/>
    <hyperlink r:id="rId750" ref="B746"/>
    <hyperlink r:id="rId751" ref="B747"/>
    <hyperlink r:id="rId752" ref="B748"/>
    <hyperlink r:id="rId753" ref="B749"/>
    <hyperlink r:id="rId754" ref="B750"/>
    <hyperlink r:id="rId755" ref="B751"/>
    <hyperlink r:id="rId756" ref="B752"/>
    <hyperlink r:id="rId757" ref="B753"/>
    <hyperlink r:id="rId758" ref="B754"/>
    <hyperlink r:id="rId759" ref="B755"/>
    <hyperlink r:id="rId760" ref="B756"/>
    <hyperlink r:id="rId761" ref="B757"/>
    <hyperlink r:id="rId762" ref="B758"/>
    <hyperlink r:id="rId763" ref="B759"/>
    <hyperlink r:id="rId764" ref="B760"/>
    <hyperlink r:id="rId765" ref="B761"/>
    <hyperlink r:id="rId766" ref="B762"/>
    <hyperlink r:id="rId767" ref="B763"/>
    <hyperlink r:id="rId768" ref="B764"/>
    <hyperlink r:id="rId769" ref="B765"/>
    <hyperlink r:id="rId770" ref="B766"/>
    <hyperlink r:id="rId771" ref="B767"/>
    <hyperlink r:id="rId772" ref="B768"/>
    <hyperlink r:id="rId773" ref="B769"/>
    <hyperlink r:id="rId774" ref="B770"/>
    <hyperlink r:id="rId775" ref="B771"/>
    <hyperlink r:id="rId776" ref="B772"/>
    <hyperlink r:id="rId777" ref="B773"/>
    <hyperlink r:id="rId778" ref="B774"/>
    <hyperlink r:id="rId779" ref="B775"/>
    <hyperlink r:id="rId780" ref="B776"/>
    <hyperlink r:id="rId781" ref="B777"/>
    <hyperlink r:id="rId782" ref="B778"/>
    <hyperlink r:id="rId783" ref="B779"/>
    <hyperlink r:id="rId784" ref="B780"/>
    <hyperlink r:id="rId785" ref="B781"/>
    <hyperlink r:id="rId786" ref="B782"/>
    <hyperlink r:id="rId787" ref="B783"/>
    <hyperlink r:id="rId788" ref="B784"/>
    <hyperlink r:id="rId789" ref="B785"/>
    <hyperlink r:id="rId790" ref="B786"/>
    <hyperlink r:id="rId791" ref="B787"/>
    <hyperlink r:id="rId792" ref="B788"/>
    <hyperlink r:id="rId793" ref="B789"/>
    <hyperlink r:id="rId794" ref="B790"/>
    <hyperlink r:id="rId795" ref="B791"/>
    <hyperlink r:id="rId796" ref="B792"/>
    <hyperlink r:id="rId797" ref="B793"/>
    <hyperlink r:id="rId798" ref="B794"/>
    <hyperlink r:id="rId799" ref="B795"/>
    <hyperlink r:id="rId800" ref="B796"/>
    <hyperlink r:id="rId801" ref="B797"/>
    <hyperlink r:id="rId802" ref="B798"/>
    <hyperlink r:id="rId803" ref="B799"/>
    <hyperlink r:id="rId804" ref="B800"/>
    <hyperlink r:id="rId805" ref="B801"/>
    <hyperlink r:id="rId806" ref="B802"/>
    <hyperlink r:id="rId807" ref="B803"/>
    <hyperlink r:id="rId808" ref="B804"/>
    <hyperlink r:id="rId809" ref="B805"/>
    <hyperlink r:id="rId810" ref="B806"/>
    <hyperlink r:id="rId811" ref="B807"/>
    <hyperlink r:id="rId812" ref="B808"/>
    <hyperlink r:id="rId813" ref="B809"/>
    <hyperlink r:id="rId814" ref="B810"/>
    <hyperlink r:id="rId815" ref="B811"/>
    <hyperlink r:id="rId816" ref="B812"/>
    <hyperlink r:id="rId817" ref="B813"/>
    <hyperlink r:id="rId818" ref="B814"/>
    <hyperlink r:id="rId819" ref="B815"/>
    <hyperlink r:id="rId820" ref="B816"/>
    <hyperlink r:id="rId821" ref="B817"/>
    <hyperlink r:id="rId822" ref="B818"/>
    <hyperlink r:id="rId823" ref="B819"/>
    <hyperlink r:id="rId824" ref="B820"/>
    <hyperlink r:id="rId825" ref="B821"/>
    <hyperlink r:id="rId826" ref="B822"/>
    <hyperlink r:id="rId827" ref="B823"/>
    <hyperlink r:id="rId828" ref="B824"/>
    <hyperlink r:id="rId829" ref="B825"/>
    <hyperlink r:id="rId830" ref="B826"/>
    <hyperlink r:id="rId831" ref="B827"/>
    <hyperlink r:id="rId832" ref="B828"/>
    <hyperlink r:id="rId833" ref="B829"/>
    <hyperlink r:id="rId834" ref="B830"/>
    <hyperlink r:id="rId835" ref="B831"/>
    <hyperlink r:id="rId836" ref="B832"/>
    <hyperlink r:id="rId837" ref="B833"/>
    <hyperlink r:id="rId838" ref="B834"/>
    <hyperlink r:id="rId839" ref="B835"/>
    <hyperlink r:id="rId840" ref="B836"/>
    <hyperlink r:id="rId841" ref="B837"/>
    <hyperlink r:id="rId842" ref="B838"/>
    <hyperlink r:id="rId843" ref="B839"/>
    <hyperlink r:id="rId844" ref="B840"/>
    <hyperlink r:id="rId845" ref="B841"/>
    <hyperlink r:id="rId846" ref="B842"/>
    <hyperlink r:id="rId847" ref="B843"/>
    <hyperlink r:id="rId848" ref="B844"/>
    <hyperlink r:id="rId849" ref="B845"/>
    <hyperlink r:id="rId850" ref="B846"/>
    <hyperlink r:id="rId851" ref="B847"/>
    <hyperlink r:id="rId852" ref="B848"/>
    <hyperlink r:id="rId853" ref="B849"/>
    <hyperlink r:id="rId854" ref="B850"/>
    <hyperlink r:id="rId855" ref="B851"/>
    <hyperlink r:id="rId856" ref="B852"/>
    <hyperlink r:id="rId857" ref="B853"/>
    <hyperlink r:id="rId858" ref="B854"/>
    <hyperlink r:id="rId859" ref="B855"/>
    <hyperlink r:id="rId860" ref="B856"/>
    <hyperlink r:id="rId861" ref="B857"/>
    <hyperlink r:id="rId862" ref="B858"/>
    <hyperlink r:id="rId863" ref="B859"/>
    <hyperlink r:id="rId864" ref="B860"/>
    <hyperlink r:id="rId865" ref="B861"/>
    <hyperlink r:id="rId866" ref="B862"/>
    <hyperlink r:id="rId867" ref="B863"/>
    <hyperlink r:id="rId868" ref="B864"/>
    <hyperlink r:id="rId869" ref="B865"/>
    <hyperlink r:id="rId870" ref="B866"/>
    <hyperlink r:id="rId871" ref="B867"/>
    <hyperlink r:id="rId872" ref="B868"/>
    <hyperlink r:id="rId873" ref="B869"/>
    <hyperlink r:id="rId874" ref="B870"/>
    <hyperlink r:id="rId875" ref="B871"/>
    <hyperlink r:id="rId876" ref="B872"/>
    <hyperlink r:id="rId877" ref="B873"/>
    <hyperlink r:id="rId878" ref="B874"/>
    <hyperlink r:id="rId879" ref="B875"/>
    <hyperlink r:id="rId880" ref="B876"/>
    <hyperlink r:id="rId881" ref="B877"/>
    <hyperlink r:id="rId882" ref="B878"/>
    <hyperlink r:id="rId883" ref="B879"/>
    <hyperlink r:id="rId884" ref="B880"/>
    <hyperlink r:id="rId885" ref="B881"/>
    <hyperlink r:id="rId886" ref="B882"/>
    <hyperlink r:id="rId887" ref="B883"/>
    <hyperlink r:id="rId888" ref="B884"/>
    <hyperlink r:id="rId889" ref="B885"/>
    <hyperlink r:id="rId890" ref="B886"/>
    <hyperlink r:id="rId891" ref="B887"/>
    <hyperlink r:id="rId892" ref="B888"/>
    <hyperlink r:id="rId893" ref="B889"/>
    <hyperlink r:id="rId894" ref="B890"/>
    <hyperlink r:id="rId895" ref="B891"/>
    <hyperlink r:id="rId896" ref="B892"/>
    <hyperlink r:id="rId897" ref="B893"/>
    <hyperlink r:id="rId898" ref="B894"/>
    <hyperlink r:id="rId899" ref="B895"/>
    <hyperlink r:id="rId900" ref="B896"/>
    <hyperlink r:id="rId901" ref="B897"/>
    <hyperlink r:id="rId902" ref="B898"/>
    <hyperlink r:id="rId903" ref="B899"/>
    <hyperlink r:id="rId904" ref="B900"/>
    <hyperlink r:id="rId905" ref="B901"/>
    <hyperlink r:id="rId906" ref="B902"/>
    <hyperlink r:id="rId907" ref="B903"/>
    <hyperlink r:id="rId908" ref="B904"/>
    <hyperlink r:id="rId909" ref="B905"/>
    <hyperlink r:id="rId910" ref="B906"/>
    <hyperlink r:id="rId911" ref="B907"/>
    <hyperlink r:id="rId912" ref="B908"/>
    <hyperlink r:id="rId913" ref="B909"/>
    <hyperlink r:id="rId914" ref="B910"/>
    <hyperlink r:id="rId915" ref="B911"/>
    <hyperlink r:id="rId916" ref="B912"/>
    <hyperlink r:id="rId917" ref="B913"/>
    <hyperlink r:id="rId918" ref="B914"/>
    <hyperlink r:id="rId919" ref="B915"/>
    <hyperlink r:id="rId920" ref="B916"/>
    <hyperlink r:id="rId921" ref="B917"/>
    <hyperlink r:id="rId922" ref="B918"/>
    <hyperlink r:id="rId923" ref="B919"/>
    <hyperlink r:id="rId924" ref="B920"/>
    <hyperlink r:id="rId925" ref="B921"/>
    <hyperlink r:id="rId926" ref="B922"/>
    <hyperlink r:id="rId927" ref="B923"/>
    <hyperlink r:id="rId928" ref="B924"/>
    <hyperlink r:id="rId929" ref="B925"/>
    <hyperlink r:id="rId930" ref="B926"/>
    <hyperlink r:id="rId931" ref="B927"/>
    <hyperlink r:id="rId932" ref="B928"/>
    <hyperlink r:id="rId933" ref="B929"/>
    <hyperlink r:id="rId934" ref="B930"/>
    <hyperlink r:id="rId935" ref="B931"/>
    <hyperlink r:id="rId936" ref="B932"/>
    <hyperlink r:id="rId937" ref="B933"/>
    <hyperlink r:id="rId938" ref="B934"/>
    <hyperlink r:id="rId939" ref="B935"/>
    <hyperlink r:id="rId940" ref="B936"/>
    <hyperlink r:id="rId941" ref="B937"/>
    <hyperlink r:id="rId942" ref="B938"/>
    <hyperlink r:id="rId943" ref="B939"/>
    <hyperlink r:id="rId944" ref="B940"/>
    <hyperlink r:id="rId945" ref="B941"/>
    <hyperlink r:id="rId946" ref="B942"/>
    <hyperlink r:id="rId947" ref="B943"/>
    <hyperlink r:id="rId948" ref="B944"/>
    <hyperlink r:id="rId949" ref="B945"/>
    <hyperlink r:id="rId950" ref="B946"/>
    <hyperlink r:id="rId951" ref="B947"/>
    <hyperlink r:id="rId952" ref="B948"/>
    <hyperlink r:id="rId953" ref="B949"/>
    <hyperlink r:id="rId954" ref="B950"/>
    <hyperlink r:id="rId955" ref="B951"/>
    <hyperlink r:id="rId956" ref="B952"/>
    <hyperlink r:id="rId957" ref="B953"/>
    <hyperlink r:id="rId958" ref="B954"/>
    <hyperlink r:id="rId959" ref="B955"/>
    <hyperlink r:id="rId960" ref="B956"/>
    <hyperlink r:id="rId961" ref="B957"/>
    <hyperlink r:id="rId962" ref="B958"/>
    <hyperlink r:id="rId963" ref="B959"/>
    <hyperlink r:id="rId964" ref="B960"/>
    <hyperlink r:id="rId965" ref="B961"/>
    <hyperlink r:id="rId966" ref="B962"/>
    <hyperlink r:id="rId967" ref="B963"/>
    <hyperlink r:id="rId968" ref="B964"/>
    <hyperlink r:id="rId969" ref="B965"/>
    <hyperlink r:id="rId970" ref="B966"/>
    <hyperlink r:id="rId971" ref="B967"/>
    <hyperlink r:id="rId972" ref="B968"/>
    <hyperlink r:id="rId973" ref="B969"/>
    <hyperlink r:id="rId974" ref="B970"/>
    <hyperlink r:id="rId975" ref="B971"/>
    <hyperlink r:id="rId976" ref="B972"/>
    <hyperlink r:id="rId977" ref="B973"/>
    <hyperlink r:id="rId978" ref="B974"/>
    <hyperlink r:id="rId979" ref="B975"/>
    <hyperlink r:id="rId980" ref="B976"/>
    <hyperlink r:id="rId981" ref="B977"/>
    <hyperlink r:id="rId982" ref="B978"/>
    <hyperlink r:id="rId983" ref="B979"/>
    <hyperlink r:id="rId984" ref="B980"/>
    <hyperlink r:id="rId985" ref="B981"/>
    <hyperlink r:id="rId986" ref="B982"/>
    <hyperlink r:id="rId987" ref="B983"/>
    <hyperlink r:id="rId988" ref="B984"/>
    <hyperlink r:id="rId989" ref="B985"/>
    <hyperlink r:id="rId990" ref="B986"/>
    <hyperlink r:id="rId991" ref="B987"/>
    <hyperlink r:id="rId992" ref="B988"/>
    <hyperlink r:id="rId993" ref="B989"/>
    <hyperlink r:id="rId994" ref="B990"/>
    <hyperlink r:id="rId995" ref="B991"/>
    <hyperlink r:id="rId996" ref="B992"/>
    <hyperlink r:id="rId997" ref="B993"/>
    <hyperlink r:id="rId998" ref="B994"/>
    <hyperlink r:id="rId999" ref="B995"/>
    <hyperlink r:id="rId1000" ref="B996"/>
    <hyperlink r:id="rId1001" ref="B997"/>
    <hyperlink r:id="rId1002" ref="B998"/>
    <hyperlink r:id="rId1003" ref="B999"/>
    <hyperlink r:id="rId1004" ref="B1000"/>
    <hyperlink r:id="rId1005" ref="B1001"/>
  </hyperlinks>
  <drawing r:id="rId1006"/>
</worksheet>
</file>